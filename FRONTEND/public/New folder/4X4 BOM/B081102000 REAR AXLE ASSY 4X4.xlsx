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o\Desktop\4X4 BOM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5" i="1" l="1"/>
  <c r="I16" i="1"/>
  <c r="J16" i="1" s="1"/>
  <c r="I25" i="1" l="1"/>
  <c r="I12" i="1"/>
  <c r="I10" i="1"/>
  <c r="I3" i="1"/>
</calcChain>
</file>

<file path=xl/sharedStrings.xml><?xml version="1.0" encoding="utf-8"?>
<sst xmlns="http://schemas.openxmlformats.org/spreadsheetml/2006/main" count="492" uniqueCount="236">
  <si>
    <t>B081102101</t>
  </si>
  <si>
    <t>Center Housing</t>
  </si>
  <si>
    <t>M59013</t>
  </si>
  <si>
    <t>Cylindrical Pin Ø14x30mm</t>
  </si>
  <si>
    <t>M07424</t>
  </si>
  <si>
    <t>Stud 'B' M14x1.5x45</t>
  </si>
  <si>
    <t>B081102102</t>
  </si>
  <si>
    <t>Axle Housing</t>
  </si>
  <si>
    <t>M04015</t>
  </si>
  <si>
    <t>M01007</t>
  </si>
  <si>
    <t>Hex. Nut M14x1.5</t>
  </si>
  <si>
    <t>B081102111</t>
  </si>
  <si>
    <t>Shaft support</t>
  </si>
  <si>
    <t>M11057</t>
  </si>
  <si>
    <t>B081102108</t>
  </si>
  <si>
    <t>Locking Stud</t>
  </si>
  <si>
    <t>M01005</t>
  </si>
  <si>
    <t>Hex. Nut M12</t>
  </si>
  <si>
    <t>B081102109</t>
  </si>
  <si>
    <t>Spherical Bush Set</t>
  </si>
  <si>
    <t>M12073</t>
  </si>
  <si>
    <t>Oil Seal Double Lip 55/70x10</t>
  </si>
  <si>
    <t>B081102106</t>
  </si>
  <si>
    <t>O-Ring Ø2.8x135</t>
  </si>
  <si>
    <t>S.NO.</t>
  </si>
  <si>
    <t>PART NO</t>
  </si>
  <si>
    <t>PART DESCRIPTION</t>
  </si>
  <si>
    <t>QTY</t>
  </si>
  <si>
    <t>UM</t>
  </si>
  <si>
    <t>GROUP NAME</t>
  </si>
  <si>
    <t>SOURCE</t>
  </si>
  <si>
    <t>WT</t>
  </si>
  <si>
    <t>SCRAP WT</t>
  </si>
  <si>
    <t>RM</t>
  </si>
  <si>
    <t>RM CODE</t>
  </si>
  <si>
    <t>TOTAL WT</t>
  </si>
  <si>
    <t>NO</t>
  </si>
  <si>
    <t>CASTING</t>
  </si>
  <si>
    <t>PINS</t>
  </si>
  <si>
    <t>FASTENER</t>
  </si>
  <si>
    <t>Plain Washer M14</t>
  </si>
  <si>
    <t>RUBBER AND PLASTIC</t>
  </si>
  <si>
    <t>FABRICATION</t>
  </si>
  <si>
    <t>PROP</t>
  </si>
  <si>
    <t>INHOUSE MACHINING</t>
  </si>
  <si>
    <t>BOP</t>
  </si>
  <si>
    <t>CB081102102</t>
  </si>
  <si>
    <t>CB081102101</t>
  </si>
  <si>
    <t>B081102202</t>
  </si>
  <si>
    <t>Swivel Housing (LH)</t>
  </si>
  <si>
    <t>CB081102202</t>
  </si>
  <si>
    <t>B081102203</t>
  </si>
  <si>
    <t>King Pin</t>
  </si>
  <si>
    <t>FORGING</t>
  </si>
  <si>
    <t>M03063</t>
  </si>
  <si>
    <t>Hex. Head Screw M12x30</t>
  </si>
  <si>
    <t>B081102201</t>
  </si>
  <si>
    <t>Swivel Housing (RH)</t>
  </si>
  <si>
    <t>CB081102201</t>
  </si>
  <si>
    <t>B081102204</t>
  </si>
  <si>
    <t>Steering Cylinder</t>
  </si>
  <si>
    <t>HYD CYLINDER</t>
  </si>
  <si>
    <t>B081102207</t>
  </si>
  <si>
    <t>Locking Pin II</t>
  </si>
  <si>
    <t>M03033</t>
  </si>
  <si>
    <t>Hex. Head Screw M8x20</t>
  </si>
  <si>
    <t>B081102208</t>
  </si>
  <si>
    <t>Spacer, 11mm</t>
  </si>
  <si>
    <t>BUSH AND SPACER</t>
  </si>
  <si>
    <t>B081102205</t>
  </si>
  <si>
    <t>Locking Pin I</t>
  </si>
  <si>
    <t>M10015</t>
  </si>
  <si>
    <t>External Circlip A25</t>
  </si>
  <si>
    <t>B081102210</t>
  </si>
  <si>
    <t>TIE ROD Welded - 4X4 (63" Pipe)</t>
  </si>
  <si>
    <t>INHOUSE</t>
  </si>
  <si>
    <t>B0811022</t>
  </si>
  <si>
    <t>Tie Rod Pipe 63" (32NB)</t>
  </si>
  <si>
    <t>PRMCP001</t>
  </si>
  <si>
    <t>B08110010</t>
  </si>
  <si>
    <t>Hex Nut M24 RH</t>
  </si>
  <si>
    <t>B08110011</t>
  </si>
  <si>
    <t>Hex Nut M24 LH</t>
  </si>
  <si>
    <t>B08110009</t>
  </si>
  <si>
    <t>TIE ROD END RH</t>
  </si>
  <si>
    <t>B08110012</t>
  </si>
  <si>
    <t>TIE ROD END LH</t>
  </si>
  <si>
    <t>M51006</t>
  </si>
  <si>
    <t>Hex Head Screw.M16x70 (Gr. 12.9)</t>
  </si>
  <si>
    <t>M01032</t>
  </si>
  <si>
    <t>Hex Lock Nut M16</t>
  </si>
  <si>
    <t>B081102209</t>
  </si>
  <si>
    <t>Spacer - 4mm</t>
  </si>
  <si>
    <t>M.S. Round 50mm</t>
  </si>
  <si>
    <t>PRMRU0020</t>
  </si>
  <si>
    <t>M120001</t>
  </si>
  <si>
    <t>Needle Bush- NB45x55x30</t>
  </si>
  <si>
    <t>BEARING</t>
  </si>
  <si>
    <t>M12076</t>
  </si>
  <si>
    <t>Oil Seal Double Lip 45x55x10</t>
  </si>
  <si>
    <t>B081102616</t>
  </si>
  <si>
    <t>Shim - wheel carrier (0.2mm)</t>
  </si>
  <si>
    <t>A/R</t>
  </si>
  <si>
    <t>B081102617</t>
  </si>
  <si>
    <t>Shim - wheel carrier (0.3mm)</t>
  </si>
  <si>
    <t>B081102618</t>
  </si>
  <si>
    <t>Shim - wheel carrier (0.5mm)</t>
  </si>
  <si>
    <t>Shim, 05mm</t>
  </si>
  <si>
    <t>M04009</t>
  </si>
  <si>
    <t>Spring Washer M12</t>
  </si>
  <si>
    <t>M04007</t>
  </si>
  <si>
    <t>Spring Washer M8</t>
  </si>
  <si>
    <t>M29001</t>
  </si>
  <si>
    <t>Grease Nipple (St.) M8x1</t>
  </si>
  <si>
    <t>MISC</t>
  </si>
  <si>
    <t>M29006</t>
  </si>
  <si>
    <t>Grease Nipple (L) M8x1</t>
  </si>
  <si>
    <t>B081102104</t>
  </si>
  <si>
    <t>Differiential Cage Support</t>
  </si>
  <si>
    <t>CB081102104</t>
  </si>
  <si>
    <t>M59014</t>
  </si>
  <si>
    <t>Cylindrical Pin Ø6x10mm</t>
  </si>
  <si>
    <t>B081102105</t>
  </si>
  <si>
    <t>Cap</t>
  </si>
  <si>
    <t>CB081102105</t>
  </si>
  <si>
    <t>M37084</t>
  </si>
  <si>
    <t>Hex Head Bolt M12x1.5x65 (Gr-10.9)</t>
  </si>
  <si>
    <t>B081102407</t>
  </si>
  <si>
    <t>Toothed Nut (Speical)</t>
  </si>
  <si>
    <t>B081102410</t>
  </si>
  <si>
    <t>DIFFERENTIAL CAGE LH - 4WD</t>
  </si>
  <si>
    <t>B081102411</t>
  </si>
  <si>
    <t>DIFFERENTIAL CAGE RH - 4WD</t>
  </si>
  <si>
    <t>B081102403</t>
  </si>
  <si>
    <t>Spider Kit 10/16</t>
  </si>
  <si>
    <t>GEAR AND SPROCKET</t>
  </si>
  <si>
    <t>B081102402</t>
  </si>
  <si>
    <t xml:space="preserve">Shaft - Spider kit </t>
  </si>
  <si>
    <t>M33018</t>
  </si>
  <si>
    <t>Spring Dowel Sleeve Ø5x26</t>
  </si>
  <si>
    <t>B081102404</t>
  </si>
  <si>
    <t>Spherical Washer</t>
  </si>
  <si>
    <t>B081102405</t>
  </si>
  <si>
    <t>Thrust Washer</t>
  </si>
  <si>
    <t>M102016</t>
  </si>
  <si>
    <t>Allen Bolt M8x75 (Gr.12.9)</t>
  </si>
  <si>
    <t xml:space="preserve">B081102301 </t>
  </si>
  <si>
    <t>Tail Pinion Crown wheel Set 14/30</t>
  </si>
  <si>
    <t>Hex Head Bolt M10x30 (Gr.12.9)</t>
  </si>
  <si>
    <t>M17035</t>
  </si>
  <si>
    <t>T/R Bearing 32012 (60/95x23)</t>
  </si>
  <si>
    <t>M03247</t>
  </si>
  <si>
    <t>Hex Head Bolt M14x1.5x40</t>
  </si>
  <si>
    <t>M17008</t>
  </si>
  <si>
    <t>T/R Bearing 32208</t>
  </si>
  <si>
    <t>B081102303</t>
  </si>
  <si>
    <t>Chuck Nut M38x1.5</t>
  </si>
  <si>
    <t>M12075</t>
  </si>
  <si>
    <t>Oil Seal Double Lip 35/48x8</t>
  </si>
  <si>
    <t>B081102304</t>
  </si>
  <si>
    <t>Cover - Oil Seal</t>
  </si>
  <si>
    <t>M03034</t>
  </si>
  <si>
    <t>Hex. Head Screw M8x25</t>
  </si>
  <si>
    <t>B081102408</t>
  </si>
  <si>
    <t>Clamp Welded - Differential 4x4</t>
  </si>
  <si>
    <t>Clamp Big Part - Differential 4x4</t>
  </si>
  <si>
    <t>HR SHEET 1250X2600X2mm</t>
  </si>
  <si>
    <t>PRMSH011</t>
  </si>
  <si>
    <t>Clamp Small Part - Differential 4x4</t>
  </si>
  <si>
    <t>CR SHEET 1210x2100x1.2MM</t>
  </si>
  <si>
    <t>PRMSH033</t>
  </si>
  <si>
    <t>M03047</t>
  </si>
  <si>
    <t>Hex. Head Screw M10x20</t>
  </si>
  <si>
    <t xml:space="preserve">B081102501 </t>
  </si>
  <si>
    <t>U-Joint Shaft (LH)</t>
  </si>
  <si>
    <t xml:space="preserve">B081102502 </t>
  </si>
  <si>
    <t>U-Joint Shaft (RH)</t>
  </si>
  <si>
    <t>B081102503</t>
  </si>
  <si>
    <t xml:space="preserve">Sleeve </t>
  </si>
  <si>
    <t>TURNED PART</t>
  </si>
  <si>
    <t>B081102504</t>
  </si>
  <si>
    <t>Seal Cover</t>
  </si>
  <si>
    <t>M12060</t>
  </si>
  <si>
    <t>Oil Seal Double Lip 40/62x10</t>
  </si>
  <si>
    <t>M15003</t>
  </si>
  <si>
    <t>Ball Bearing 6007 (35/62x14)</t>
  </si>
  <si>
    <t>M10022</t>
  </si>
  <si>
    <t>External Circlip A35</t>
  </si>
  <si>
    <t>B081102505</t>
  </si>
  <si>
    <t>O-Ring Ø75x3</t>
  </si>
  <si>
    <t>B081102506</t>
  </si>
  <si>
    <t>Rubber Ring</t>
  </si>
  <si>
    <t>B081102608</t>
  </si>
  <si>
    <t>Planetary Carrier</t>
  </si>
  <si>
    <t>B081102609</t>
  </si>
  <si>
    <t>Pin (Sun Gear)</t>
  </si>
  <si>
    <t>B081102610</t>
  </si>
  <si>
    <t>Thrust Washers</t>
  </si>
  <si>
    <t>M34011</t>
  </si>
  <si>
    <t>Needle Roller  Ø4x25.6</t>
  </si>
  <si>
    <t xml:space="preserve">B081102611 </t>
  </si>
  <si>
    <t>Sun Gear Z-24</t>
  </si>
  <si>
    <t>B081102612</t>
  </si>
  <si>
    <t>Locking Plate</t>
  </si>
  <si>
    <t>HR SHEET 1250X2500X1.6</t>
  </si>
  <si>
    <t>PRMSH008</t>
  </si>
  <si>
    <t>M90007</t>
  </si>
  <si>
    <t>CSK Screw M8x20</t>
  </si>
  <si>
    <t>M23003</t>
  </si>
  <si>
    <t>Copper Washer 20/26X1.5</t>
  </si>
  <si>
    <t>B081102614</t>
  </si>
  <si>
    <t>HEX. PLUG M20X1.5</t>
  </si>
  <si>
    <t>B081102412</t>
  </si>
  <si>
    <t>B081102413</t>
  </si>
  <si>
    <t>M05011</t>
  </si>
  <si>
    <t>M51007</t>
  </si>
  <si>
    <t>B081102000</t>
  </si>
  <si>
    <t>REAR AXLE ASSY 4 WD (ITALIAN)</t>
  </si>
  <si>
    <t>INTERNAL CIRCLIP B- 110</t>
  </si>
  <si>
    <t>Spring Washer M14</t>
  </si>
  <si>
    <t xml:space="preserve">Locking Pin II Welded </t>
  </si>
  <si>
    <t>B081102211</t>
  </si>
  <si>
    <t>B081102212</t>
  </si>
  <si>
    <t>Bracket for Locking Pin II</t>
  </si>
  <si>
    <t>HR SHEET 1500X3800X6</t>
  </si>
  <si>
    <t>PRMSH020</t>
  </si>
  <si>
    <t>PRMRU0001</t>
  </si>
  <si>
    <t>C.R. Round En8 Dia 25mm (Grinded)</t>
  </si>
  <si>
    <t>CB081102410</t>
  </si>
  <si>
    <t>CB081102411</t>
  </si>
  <si>
    <t>CB081102304</t>
  </si>
  <si>
    <t>Internal  Circlip 'B' 62</t>
  </si>
  <si>
    <t>M11037</t>
  </si>
  <si>
    <t>Purchase in B</t>
  </si>
  <si>
    <t>Not Purchase also item not created</t>
  </si>
  <si>
    <t>M.S. Tube 32NB (Item not in ERP)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</si>
</sst>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0" xfId="0" applyFont="1" applyFill="1" applyBorder="1"/>
    <xf numFmtId="0" fontId="2" fillId="4" borderId="1" xfId="0" applyFont="1" applyFill="1" applyBorder="1" applyAlignment="1">
      <alignment horizontal="left" vertic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abSelected="1" zoomScale="115" zoomScaleNormal="115" workbookViewId="0">
      <selection activeCell="K26" sqref="K26"/>
    </sheetView>
  </sheetViews>
  <sheetFormatPr defaultRowHeight="11.25" x14ac:dyDescent="0.2"/>
  <cols>
    <col min="1" max="1" width="4.5703125" style="40" bestFit="1" customWidth="1"/>
    <col min="2" max="2" width="9.85546875" style="38" bestFit="1" customWidth="1"/>
    <col min="3" max="3" width="25.7109375" style="38" bestFit="1" customWidth="1"/>
    <col min="4" max="4" width="3.5703125" style="38" bestFit="1" customWidth="1"/>
    <col min="5" max="5" width="3.28515625" style="38" bestFit="1" customWidth="1"/>
    <col min="6" max="6" width="14.85546875" style="40" bestFit="1" customWidth="1"/>
    <col min="7" max="7" width="15.140625" style="41" bestFit="1" customWidth="1"/>
    <col min="8" max="8" width="5.7109375" style="39" bestFit="1" customWidth="1"/>
    <col min="9" max="9" width="7.5703125" style="39" bestFit="1" customWidth="1"/>
    <col min="10" max="10" width="7.42578125" style="39" bestFit="1" customWidth="1"/>
    <col min="11" max="11" width="25" style="38" bestFit="1" customWidth="1"/>
    <col min="12" max="12" width="10.42578125" style="41" bestFit="1" customWidth="1"/>
    <col min="13" max="16384" width="9.140625" style="38"/>
  </cols>
  <sheetData>
    <row r="1" spans="1:12" s="37" customFormat="1" x14ac:dyDescent="0.25">
      <c r="A1" s="1" t="s">
        <v>24</v>
      </c>
      <c r="B1" s="2" t="s">
        <v>25</v>
      </c>
      <c r="C1" s="3" t="s">
        <v>26</v>
      </c>
      <c r="D1" s="2" t="s">
        <v>27</v>
      </c>
      <c r="E1" s="2" t="s">
        <v>28</v>
      </c>
      <c r="F1" s="1" t="s">
        <v>29</v>
      </c>
      <c r="G1" s="2" t="s">
        <v>30</v>
      </c>
      <c r="H1" s="4" t="s">
        <v>31</v>
      </c>
      <c r="I1" s="4" t="s">
        <v>32</v>
      </c>
      <c r="J1" s="4" t="s">
        <v>35</v>
      </c>
      <c r="K1" s="2" t="s">
        <v>33</v>
      </c>
      <c r="L1" s="2" t="s">
        <v>34</v>
      </c>
    </row>
    <row r="2" spans="1:12" x14ac:dyDescent="0.2">
      <c r="A2" s="5"/>
      <c r="B2" s="5" t="s">
        <v>216</v>
      </c>
      <c r="C2" s="5" t="s">
        <v>217</v>
      </c>
      <c r="D2" s="6"/>
      <c r="E2" s="6"/>
      <c r="F2" s="5"/>
      <c r="G2" s="6"/>
      <c r="H2" s="43"/>
      <c r="I2" s="7"/>
      <c r="J2" s="7"/>
      <c r="K2" s="44"/>
      <c r="L2" s="6"/>
    </row>
    <row r="3" spans="1:12" x14ac:dyDescent="0.2">
      <c r="A3" s="1">
        <v>1</v>
      </c>
      <c r="B3" s="1" t="s">
        <v>0</v>
      </c>
      <c r="C3" s="1" t="s">
        <v>1</v>
      </c>
      <c r="D3" s="2">
        <v>1</v>
      </c>
      <c r="E3" s="2" t="s">
        <v>36</v>
      </c>
      <c r="F3" s="1" t="s">
        <v>37</v>
      </c>
      <c r="G3" s="2" t="s">
        <v>44</v>
      </c>
      <c r="H3" s="8">
        <v>86</v>
      </c>
      <c r="I3" s="4">
        <f>J3-H3</f>
        <v>3.5</v>
      </c>
      <c r="J3" s="4">
        <v>89.5</v>
      </c>
      <c r="K3" s="9"/>
      <c r="L3" s="2" t="s">
        <v>47</v>
      </c>
    </row>
    <row r="4" spans="1:12" x14ac:dyDescent="0.2">
      <c r="A4" s="1">
        <v>2</v>
      </c>
      <c r="B4" s="1" t="s">
        <v>2</v>
      </c>
      <c r="C4" s="1" t="s">
        <v>3</v>
      </c>
      <c r="D4" s="2">
        <v>4</v>
      </c>
      <c r="E4" s="2" t="s">
        <v>36</v>
      </c>
      <c r="F4" s="10" t="s">
        <v>38</v>
      </c>
      <c r="G4" s="2" t="s">
        <v>45</v>
      </c>
      <c r="H4" s="8"/>
      <c r="I4" s="11"/>
      <c r="J4" s="11"/>
      <c r="K4" s="9"/>
      <c r="L4" s="31"/>
    </row>
    <row r="5" spans="1:12" x14ac:dyDescent="0.2">
      <c r="A5" s="1">
        <v>3</v>
      </c>
      <c r="B5" s="1" t="s">
        <v>6</v>
      </c>
      <c r="C5" s="1" t="s">
        <v>7</v>
      </c>
      <c r="D5" s="2">
        <v>2</v>
      </c>
      <c r="E5" s="2" t="s">
        <v>36</v>
      </c>
      <c r="F5" s="1" t="s">
        <v>37</v>
      </c>
      <c r="G5" s="12" t="s">
        <v>44</v>
      </c>
      <c r="H5" s="8">
        <v>30.2</v>
      </c>
      <c r="I5" s="4">
        <v>4</v>
      </c>
      <c r="J5" s="4">
        <v>34.200000000000003</v>
      </c>
      <c r="K5" s="9"/>
      <c r="L5" s="2" t="s">
        <v>46</v>
      </c>
    </row>
    <row r="6" spans="1:12" x14ac:dyDescent="0.2">
      <c r="A6" s="1">
        <v>4</v>
      </c>
      <c r="B6" s="1" t="s">
        <v>11</v>
      </c>
      <c r="C6" s="1" t="s">
        <v>12</v>
      </c>
      <c r="D6" s="2">
        <v>2</v>
      </c>
      <c r="E6" s="2" t="s">
        <v>36</v>
      </c>
      <c r="F6" s="10" t="s">
        <v>41</v>
      </c>
      <c r="G6" s="2" t="s">
        <v>45</v>
      </c>
      <c r="H6" s="8"/>
      <c r="I6" s="4"/>
      <c r="J6" s="4"/>
      <c r="K6" s="9"/>
      <c r="L6" s="31"/>
    </row>
    <row r="7" spans="1:12" x14ac:dyDescent="0.2">
      <c r="A7" s="1">
        <v>5</v>
      </c>
      <c r="B7" s="1" t="s">
        <v>18</v>
      </c>
      <c r="C7" s="1" t="s">
        <v>19</v>
      </c>
      <c r="D7" s="2">
        <v>4</v>
      </c>
      <c r="E7" s="2" t="s">
        <v>36</v>
      </c>
      <c r="F7" s="10" t="s">
        <v>42</v>
      </c>
      <c r="G7" s="12" t="s">
        <v>45</v>
      </c>
      <c r="H7" s="8"/>
      <c r="I7" s="4"/>
      <c r="J7" s="4"/>
      <c r="K7" s="9"/>
      <c r="L7" s="31"/>
    </row>
    <row r="8" spans="1:12" x14ac:dyDescent="0.2">
      <c r="A8" s="1">
        <v>6</v>
      </c>
      <c r="B8" s="1" t="s">
        <v>20</v>
      </c>
      <c r="C8" s="1" t="s">
        <v>21</v>
      </c>
      <c r="D8" s="2">
        <v>4</v>
      </c>
      <c r="E8" s="2" t="s">
        <v>36</v>
      </c>
      <c r="F8" s="1" t="s">
        <v>43</v>
      </c>
      <c r="G8" s="12" t="s">
        <v>45</v>
      </c>
      <c r="H8" s="13"/>
      <c r="I8" s="4"/>
      <c r="J8" s="4"/>
      <c r="K8" s="9"/>
      <c r="L8" s="31"/>
    </row>
    <row r="9" spans="1:12" x14ac:dyDescent="0.2">
      <c r="A9" s="1">
        <v>7</v>
      </c>
      <c r="B9" s="1" t="s">
        <v>22</v>
      </c>
      <c r="C9" s="1" t="s">
        <v>23</v>
      </c>
      <c r="D9" s="2">
        <v>2</v>
      </c>
      <c r="E9" s="2" t="s">
        <v>36</v>
      </c>
      <c r="F9" s="10" t="s">
        <v>41</v>
      </c>
      <c r="G9" s="12" t="s">
        <v>45</v>
      </c>
      <c r="H9" s="13"/>
      <c r="I9" s="4"/>
      <c r="J9" s="4"/>
      <c r="K9" s="9"/>
      <c r="L9" s="31"/>
    </row>
    <row r="10" spans="1:12" x14ac:dyDescent="0.2">
      <c r="A10" s="1">
        <v>8</v>
      </c>
      <c r="B10" s="14" t="s">
        <v>48</v>
      </c>
      <c r="C10" s="14" t="s">
        <v>49</v>
      </c>
      <c r="D10" s="15">
        <v>1</v>
      </c>
      <c r="E10" s="2" t="s">
        <v>36</v>
      </c>
      <c r="F10" s="1" t="s">
        <v>37</v>
      </c>
      <c r="G10" s="2" t="s">
        <v>44</v>
      </c>
      <c r="H10" s="8">
        <v>19.3</v>
      </c>
      <c r="I10" s="4">
        <f>J10-H10</f>
        <v>7.620000000000001</v>
      </c>
      <c r="J10" s="4">
        <v>26.92</v>
      </c>
      <c r="K10" s="9"/>
      <c r="L10" s="15" t="s">
        <v>50</v>
      </c>
    </row>
    <row r="11" spans="1:12" x14ac:dyDescent="0.2">
      <c r="A11" s="1">
        <v>9</v>
      </c>
      <c r="B11" s="14" t="s">
        <v>51</v>
      </c>
      <c r="C11" s="14" t="s">
        <v>52</v>
      </c>
      <c r="D11" s="15">
        <v>4</v>
      </c>
      <c r="E11" s="2" t="s">
        <v>36</v>
      </c>
      <c r="F11" s="10" t="s">
        <v>53</v>
      </c>
      <c r="G11" s="2" t="s">
        <v>45</v>
      </c>
      <c r="H11" s="8"/>
      <c r="I11" s="11"/>
      <c r="J11" s="11"/>
      <c r="K11" s="9"/>
      <c r="L11" s="31"/>
    </row>
    <row r="12" spans="1:12" x14ac:dyDescent="0.2">
      <c r="A12" s="1">
        <v>10</v>
      </c>
      <c r="B12" s="14" t="s">
        <v>56</v>
      </c>
      <c r="C12" s="14" t="s">
        <v>57</v>
      </c>
      <c r="D12" s="15">
        <v>1</v>
      </c>
      <c r="E12" s="2" t="s">
        <v>36</v>
      </c>
      <c r="F12" s="1" t="s">
        <v>37</v>
      </c>
      <c r="G12" s="12" t="s">
        <v>44</v>
      </c>
      <c r="H12" s="8">
        <v>19.3</v>
      </c>
      <c r="I12" s="4">
        <f>J12-H12</f>
        <v>7.620000000000001</v>
      </c>
      <c r="J12" s="4">
        <v>26.92</v>
      </c>
      <c r="K12" s="9"/>
      <c r="L12" s="15" t="s">
        <v>58</v>
      </c>
    </row>
    <row r="13" spans="1:12" x14ac:dyDescent="0.2">
      <c r="A13" s="1">
        <v>11</v>
      </c>
      <c r="B13" s="14" t="s">
        <v>59</v>
      </c>
      <c r="C13" s="14" t="s">
        <v>60</v>
      </c>
      <c r="D13" s="15">
        <v>1</v>
      </c>
      <c r="E13" s="2" t="s">
        <v>36</v>
      </c>
      <c r="F13" s="10" t="s">
        <v>61</v>
      </c>
      <c r="G13" s="2" t="s">
        <v>45</v>
      </c>
      <c r="H13" s="8"/>
      <c r="I13" s="4"/>
      <c r="J13" s="4"/>
      <c r="K13" s="9"/>
      <c r="L13" s="31"/>
    </row>
    <row r="14" spans="1:12" x14ac:dyDescent="0.2">
      <c r="A14" s="16">
        <v>12</v>
      </c>
      <c r="B14" s="17" t="s">
        <v>62</v>
      </c>
      <c r="C14" s="17" t="s">
        <v>220</v>
      </c>
      <c r="D14" s="18">
        <v>1</v>
      </c>
      <c r="E14" s="19" t="s">
        <v>36</v>
      </c>
      <c r="F14" s="16"/>
      <c r="G14" s="19"/>
      <c r="H14" s="20"/>
      <c r="I14" s="21"/>
      <c r="J14" s="21"/>
      <c r="K14" s="22"/>
      <c r="L14" s="45"/>
    </row>
    <row r="15" spans="1:12" s="27" customFormat="1" x14ac:dyDescent="0.2">
      <c r="A15" s="10">
        <v>12.1</v>
      </c>
      <c r="B15" s="23" t="s">
        <v>221</v>
      </c>
      <c r="C15" s="23" t="s">
        <v>63</v>
      </c>
      <c r="D15" s="24">
        <v>1</v>
      </c>
      <c r="E15" s="12" t="s">
        <v>36</v>
      </c>
      <c r="F15" s="10" t="s">
        <v>38</v>
      </c>
      <c r="G15" s="12" t="s">
        <v>75</v>
      </c>
      <c r="H15" s="13">
        <v>0.35</v>
      </c>
      <c r="I15" s="25">
        <f>J15-H15</f>
        <v>7.0000000000000007E-2</v>
      </c>
      <c r="J15" s="25">
        <v>0.42</v>
      </c>
      <c r="K15" s="1" t="s">
        <v>227</v>
      </c>
      <c r="L15" s="24" t="s">
        <v>226</v>
      </c>
    </row>
    <row r="16" spans="1:12" s="27" customFormat="1" x14ac:dyDescent="0.2">
      <c r="A16" s="10">
        <v>12.2</v>
      </c>
      <c r="B16" s="23" t="s">
        <v>222</v>
      </c>
      <c r="C16" s="23" t="s">
        <v>223</v>
      </c>
      <c r="D16" s="24">
        <v>1</v>
      </c>
      <c r="E16" s="12" t="s">
        <v>36</v>
      </c>
      <c r="F16" s="10" t="s">
        <v>42</v>
      </c>
      <c r="G16" s="12" t="s">
        <v>75</v>
      </c>
      <c r="H16" s="13">
        <v>0.04</v>
      </c>
      <c r="I16" s="25">
        <f>H16*0.12</f>
        <v>4.7999999999999996E-3</v>
      </c>
      <c r="J16" s="25">
        <f>H16+I16</f>
        <v>4.48E-2</v>
      </c>
      <c r="K16" s="26" t="s">
        <v>224</v>
      </c>
      <c r="L16" s="46" t="s">
        <v>225</v>
      </c>
    </row>
    <row r="17" spans="1:12" x14ac:dyDescent="0.2">
      <c r="A17" s="1">
        <v>13</v>
      </c>
      <c r="B17" s="14" t="s">
        <v>66</v>
      </c>
      <c r="C17" s="14" t="s">
        <v>67</v>
      </c>
      <c r="D17" s="15">
        <v>4</v>
      </c>
      <c r="E17" s="2" t="s">
        <v>36</v>
      </c>
      <c r="F17" s="1" t="s">
        <v>68</v>
      </c>
      <c r="G17" s="12" t="s">
        <v>45</v>
      </c>
      <c r="H17" s="8"/>
      <c r="I17" s="4"/>
      <c r="J17" s="4"/>
      <c r="K17" s="9"/>
      <c r="L17" s="31"/>
    </row>
    <row r="18" spans="1:12" x14ac:dyDescent="0.2">
      <c r="A18" s="1">
        <v>14</v>
      </c>
      <c r="B18" s="14" t="s">
        <v>69</v>
      </c>
      <c r="C18" s="14" t="s">
        <v>70</v>
      </c>
      <c r="D18" s="15">
        <v>1</v>
      </c>
      <c r="E18" s="2" t="s">
        <v>36</v>
      </c>
      <c r="F18" s="10" t="s">
        <v>38</v>
      </c>
      <c r="G18" s="2" t="s">
        <v>45</v>
      </c>
      <c r="H18" s="8"/>
      <c r="I18" s="4"/>
      <c r="J18" s="4"/>
      <c r="K18" s="9"/>
      <c r="L18" s="31"/>
    </row>
    <row r="19" spans="1:12" x14ac:dyDescent="0.2">
      <c r="A19" s="16">
        <v>15</v>
      </c>
      <c r="B19" s="17" t="s">
        <v>73</v>
      </c>
      <c r="C19" s="17" t="s">
        <v>74</v>
      </c>
      <c r="D19" s="18">
        <v>1</v>
      </c>
      <c r="E19" s="19" t="s">
        <v>36</v>
      </c>
      <c r="F19" s="16"/>
      <c r="G19" s="19" t="s">
        <v>75</v>
      </c>
      <c r="H19" s="20"/>
      <c r="I19" s="21"/>
      <c r="J19" s="21"/>
      <c r="K19" s="22"/>
      <c r="L19" s="45"/>
    </row>
    <row r="20" spans="1:12" s="27" customFormat="1" x14ac:dyDescent="0.2">
      <c r="A20" s="47">
        <v>15.1</v>
      </c>
      <c r="B20" s="47" t="s">
        <v>76</v>
      </c>
      <c r="C20" s="47" t="s">
        <v>77</v>
      </c>
      <c r="D20" s="48">
        <v>1</v>
      </c>
      <c r="E20" s="49" t="s">
        <v>36</v>
      </c>
      <c r="F20" s="50" t="s">
        <v>42</v>
      </c>
      <c r="G20" s="49" t="s">
        <v>75</v>
      </c>
      <c r="H20" s="51">
        <v>6.1</v>
      </c>
      <c r="I20" s="52"/>
      <c r="J20" s="52">
        <v>6.1</v>
      </c>
      <c r="K20" s="53" t="s">
        <v>235</v>
      </c>
      <c r="L20" s="54" t="s">
        <v>78</v>
      </c>
    </row>
    <row r="21" spans="1:12" s="27" customFormat="1" x14ac:dyDescent="0.2">
      <c r="A21" s="23">
        <v>15.2</v>
      </c>
      <c r="B21" s="23" t="s">
        <v>79</v>
      </c>
      <c r="C21" s="23" t="s">
        <v>80</v>
      </c>
      <c r="D21" s="24">
        <v>1</v>
      </c>
      <c r="E21" s="12" t="s">
        <v>36</v>
      </c>
      <c r="F21" s="10" t="s">
        <v>39</v>
      </c>
      <c r="G21" s="12" t="s">
        <v>45</v>
      </c>
      <c r="H21" s="13"/>
      <c r="I21" s="25"/>
      <c r="J21" s="25"/>
      <c r="K21" s="26"/>
      <c r="L21" s="46"/>
    </row>
    <row r="22" spans="1:12" s="27" customFormat="1" x14ac:dyDescent="0.2">
      <c r="A22" s="23">
        <v>15.3</v>
      </c>
      <c r="B22" s="23" t="s">
        <v>81</v>
      </c>
      <c r="C22" s="23" t="s">
        <v>82</v>
      </c>
      <c r="D22" s="24">
        <v>1</v>
      </c>
      <c r="E22" s="12" t="s">
        <v>36</v>
      </c>
      <c r="F22" s="10" t="s">
        <v>39</v>
      </c>
      <c r="G22" s="12" t="s">
        <v>45</v>
      </c>
      <c r="H22" s="13"/>
      <c r="I22" s="25"/>
      <c r="J22" s="25"/>
      <c r="K22" s="26"/>
      <c r="L22" s="46"/>
    </row>
    <row r="23" spans="1:12" x14ac:dyDescent="0.2">
      <c r="A23" s="14">
        <v>14</v>
      </c>
      <c r="B23" s="14" t="s">
        <v>83</v>
      </c>
      <c r="C23" s="28" t="s">
        <v>84</v>
      </c>
      <c r="D23" s="15">
        <v>1</v>
      </c>
      <c r="E23" s="2" t="s">
        <v>36</v>
      </c>
      <c r="F23" s="1" t="s">
        <v>43</v>
      </c>
      <c r="G23" s="12" t="s">
        <v>45</v>
      </c>
      <c r="H23" s="13"/>
      <c r="I23" s="4"/>
      <c r="J23" s="4"/>
      <c r="K23" s="9"/>
      <c r="L23" s="31"/>
    </row>
    <row r="24" spans="1:12" x14ac:dyDescent="0.2">
      <c r="A24" s="14">
        <v>15</v>
      </c>
      <c r="B24" s="14" t="s">
        <v>85</v>
      </c>
      <c r="C24" s="14" t="s">
        <v>86</v>
      </c>
      <c r="D24" s="15">
        <v>1</v>
      </c>
      <c r="E24" s="2" t="s">
        <v>36</v>
      </c>
      <c r="F24" s="10" t="s">
        <v>43</v>
      </c>
      <c r="G24" s="12" t="s">
        <v>45</v>
      </c>
      <c r="H24" s="13"/>
      <c r="I24" s="4"/>
      <c r="J24" s="4"/>
      <c r="K24" s="9"/>
      <c r="L24" s="31"/>
    </row>
    <row r="25" spans="1:12" x14ac:dyDescent="0.2">
      <c r="A25" s="14">
        <v>16</v>
      </c>
      <c r="B25" s="14" t="s">
        <v>91</v>
      </c>
      <c r="C25" s="14" t="s">
        <v>92</v>
      </c>
      <c r="D25" s="15">
        <v>2</v>
      </c>
      <c r="E25" s="2" t="s">
        <v>36</v>
      </c>
      <c r="F25" s="1" t="s">
        <v>68</v>
      </c>
      <c r="G25" s="12" t="s">
        <v>75</v>
      </c>
      <c r="H25" s="13">
        <v>2.5000000000000001E-2</v>
      </c>
      <c r="I25" s="25">
        <f>J25-H25</f>
        <v>0.125</v>
      </c>
      <c r="J25" s="25">
        <v>0.15</v>
      </c>
      <c r="K25" s="10" t="s">
        <v>93</v>
      </c>
      <c r="L25" s="24" t="s">
        <v>94</v>
      </c>
    </row>
    <row r="26" spans="1:12" x14ac:dyDescent="0.2">
      <c r="A26" s="14">
        <v>17</v>
      </c>
      <c r="B26" s="14" t="s">
        <v>95</v>
      </c>
      <c r="C26" s="14" t="s">
        <v>96</v>
      </c>
      <c r="D26" s="15">
        <v>2</v>
      </c>
      <c r="E26" s="2" t="s">
        <v>36</v>
      </c>
      <c r="F26" s="10" t="s">
        <v>97</v>
      </c>
      <c r="G26" s="2" t="s">
        <v>45</v>
      </c>
      <c r="H26" s="8"/>
      <c r="I26" s="4"/>
      <c r="J26" s="4"/>
      <c r="K26" s="9"/>
      <c r="L26" s="31"/>
    </row>
    <row r="27" spans="1:12" x14ac:dyDescent="0.2">
      <c r="A27" s="14">
        <v>18</v>
      </c>
      <c r="B27" s="14" t="s">
        <v>98</v>
      </c>
      <c r="C27" s="14" t="s">
        <v>99</v>
      </c>
      <c r="D27" s="15">
        <v>2</v>
      </c>
      <c r="E27" s="2" t="s">
        <v>36</v>
      </c>
      <c r="F27" s="10" t="s">
        <v>43</v>
      </c>
      <c r="G27" s="2" t="s">
        <v>45</v>
      </c>
      <c r="H27" s="8"/>
      <c r="I27" s="4"/>
      <c r="J27" s="4"/>
      <c r="K27" s="9"/>
      <c r="L27" s="31"/>
    </row>
    <row r="28" spans="1:12" x14ac:dyDescent="0.2">
      <c r="A28" s="47">
        <v>19</v>
      </c>
      <c r="B28" s="47" t="s">
        <v>100</v>
      </c>
      <c r="C28" s="47" t="s">
        <v>101</v>
      </c>
      <c r="D28" s="48" t="s">
        <v>102</v>
      </c>
      <c r="E28" s="49" t="s">
        <v>36</v>
      </c>
      <c r="F28" s="50" t="s">
        <v>42</v>
      </c>
      <c r="G28" s="49" t="s">
        <v>45</v>
      </c>
      <c r="H28" s="55"/>
      <c r="I28" s="55"/>
      <c r="J28" s="52"/>
      <c r="K28" s="53"/>
      <c r="L28" s="54"/>
    </row>
    <row r="29" spans="1:12" x14ac:dyDescent="0.2">
      <c r="A29" s="47">
        <v>20</v>
      </c>
      <c r="B29" s="47" t="s">
        <v>103</v>
      </c>
      <c r="C29" s="47" t="s">
        <v>104</v>
      </c>
      <c r="D29" s="48" t="s">
        <v>102</v>
      </c>
      <c r="E29" s="49" t="s">
        <v>36</v>
      </c>
      <c r="F29" s="50" t="s">
        <v>42</v>
      </c>
      <c r="G29" s="49" t="s">
        <v>45</v>
      </c>
      <c r="H29" s="51"/>
      <c r="I29" s="52"/>
      <c r="J29" s="52"/>
      <c r="K29" s="53"/>
      <c r="L29" s="54"/>
    </row>
    <row r="30" spans="1:12" x14ac:dyDescent="0.2">
      <c r="A30" s="47">
        <v>21</v>
      </c>
      <c r="B30" s="47" t="s">
        <v>105</v>
      </c>
      <c r="C30" s="47" t="s">
        <v>106</v>
      </c>
      <c r="D30" s="48" t="s">
        <v>102</v>
      </c>
      <c r="E30" s="49" t="s">
        <v>36</v>
      </c>
      <c r="F30" s="50" t="s">
        <v>42</v>
      </c>
      <c r="G30" s="49" t="s">
        <v>45</v>
      </c>
      <c r="H30" s="51"/>
      <c r="I30" s="52"/>
      <c r="J30" s="52"/>
      <c r="K30" s="53"/>
      <c r="L30" s="54"/>
    </row>
    <row r="31" spans="1:12" x14ac:dyDescent="0.2">
      <c r="A31" s="47">
        <v>22</v>
      </c>
      <c r="B31" s="47" t="s">
        <v>73</v>
      </c>
      <c r="C31" s="47" t="s">
        <v>107</v>
      </c>
      <c r="D31" s="48" t="s">
        <v>102</v>
      </c>
      <c r="E31" s="49" t="s">
        <v>36</v>
      </c>
      <c r="F31" s="50" t="s">
        <v>42</v>
      </c>
      <c r="G31" s="49" t="s">
        <v>45</v>
      </c>
      <c r="H31" s="55"/>
      <c r="I31" s="55"/>
      <c r="J31" s="55"/>
      <c r="K31" s="53"/>
      <c r="L31" s="54"/>
    </row>
    <row r="32" spans="1:12" x14ac:dyDescent="0.2">
      <c r="A32" s="14">
        <v>23</v>
      </c>
      <c r="B32" s="14" t="s">
        <v>112</v>
      </c>
      <c r="C32" s="14" t="s">
        <v>113</v>
      </c>
      <c r="D32" s="15">
        <v>4</v>
      </c>
      <c r="E32" s="2" t="s">
        <v>36</v>
      </c>
      <c r="F32" s="30" t="s">
        <v>114</v>
      </c>
      <c r="G32" s="31" t="s">
        <v>45</v>
      </c>
      <c r="H32" s="29"/>
      <c r="I32" s="29"/>
      <c r="J32" s="29"/>
      <c r="K32" s="9"/>
      <c r="L32" s="31"/>
    </row>
    <row r="33" spans="1:12" x14ac:dyDescent="0.2">
      <c r="A33" s="14">
        <v>24</v>
      </c>
      <c r="B33" s="14" t="s">
        <v>115</v>
      </c>
      <c r="C33" s="14" t="s">
        <v>116</v>
      </c>
      <c r="D33" s="15">
        <v>2</v>
      </c>
      <c r="E33" s="2" t="s">
        <v>36</v>
      </c>
      <c r="F33" s="30" t="s">
        <v>114</v>
      </c>
      <c r="G33" s="31" t="s">
        <v>45</v>
      </c>
      <c r="H33" s="29"/>
      <c r="I33" s="29"/>
      <c r="J33" s="29"/>
      <c r="K33" s="9"/>
      <c r="L33" s="31"/>
    </row>
    <row r="34" spans="1:12" x14ac:dyDescent="0.2">
      <c r="A34" s="14">
        <v>25</v>
      </c>
      <c r="B34" s="14" t="s">
        <v>117</v>
      </c>
      <c r="C34" s="14" t="s">
        <v>118</v>
      </c>
      <c r="D34" s="15">
        <v>1</v>
      </c>
      <c r="E34" s="2" t="s">
        <v>36</v>
      </c>
      <c r="F34" s="1" t="s">
        <v>37</v>
      </c>
      <c r="G34" s="2" t="s">
        <v>44</v>
      </c>
      <c r="H34" s="8">
        <v>22.42</v>
      </c>
      <c r="I34" s="4">
        <v>3.84</v>
      </c>
      <c r="J34" s="4">
        <v>26.26</v>
      </c>
      <c r="K34" s="9"/>
      <c r="L34" s="15" t="s">
        <v>119</v>
      </c>
    </row>
    <row r="35" spans="1:12" x14ac:dyDescent="0.2">
      <c r="A35" s="14">
        <v>26</v>
      </c>
      <c r="B35" s="14" t="s">
        <v>120</v>
      </c>
      <c r="C35" s="14" t="s">
        <v>121</v>
      </c>
      <c r="D35" s="15">
        <v>4</v>
      </c>
      <c r="E35" s="2" t="s">
        <v>36</v>
      </c>
      <c r="F35" s="10" t="s">
        <v>38</v>
      </c>
      <c r="G35" s="2" t="s">
        <v>45</v>
      </c>
      <c r="H35" s="8"/>
      <c r="I35" s="11"/>
      <c r="J35" s="11"/>
      <c r="K35" s="9"/>
      <c r="L35" s="31"/>
    </row>
    <row r="36" spans="1:12" x14ac:dyDescent="0.2">
      <c r="A36" s="47">
        <v>27</v>
      </c>
      <c r="B36" s="47" t="s">
        <v>122</v>
      </c>
      <c r="C36" s="47" t="s">
        <v>123</v>
      </c>
      <c r="D36" s="48">
        <v>2</v>
      </c>
      <c r="E36" s="49" t="s">
        <v>36</v>
      </c>
      <c r="F36" s="50" t="s">
        <v>37</v>
      </c>
      <c r="G36" s="49" t="s">
        <v>44</v>
      </c>
      <c r="H36" s="51">
        <v>1.0549999999999999</v>
      </c>
      <c r="I36" s="52">
        <v>0.80500000000000016</v>
      </c>
      <c r="J36" s="52">
        <v>1.86</v>
      </c>
      <c r="K36" s="53" t="s">
        <v>233</v>
      </c>
      <c r="L36" s="48" t="s">
        <v>124</v>
      </c>
    </row>
    <row r="37" spans="1:12" x14ac:dyDescent="0.2">
      <c r="A37" s="14">
        <v>28</v>
      </c>
      <c r="B37" s="14" t="s">
        <v>127</v>
      </c>
      <c r="C37" s="14" t="s">
        <v>128</v>
      </c>
      <c r="D37" s="15">
        <v>2</v>
      </c>
      <c r="E37" s="2" t="s">
        <v>36</v>
      </c>
      <c r="F37" s="10" t="s">
        <v>42</v>
      </c>
      <c r="G37" s="2" t="s">
        <v>45</v>
      </c>
      <c r="H37" s="8"/>
      <c r="I37" s="4"/>
      <c r="J37" s="4"/>
      <c r="K37" s="9"/>
      <c r="L37" s="31"/>
    </row>
    <row r="38" spans="1:12" s="42" customFormat="1" x14ac:dyDescent="0.2">
      <c r="A38" s="14">
        <v>29</v>
      </c>
      <c r="B38" s="32" t="s">
        <v>129</v>
      </c>
      <c r="C38" s="32" t="s">
        <v>130</v>
      </c>
      <c r="D38" s="33">
        <v>1</v>
      </c>
      <c r="E38" s="33" t="s">
        <v>36</v>
      </c>
      <c r="F38" s="32" t="s">
        <v>37</v>
      </c>
      <c r="G38" s="33" t="s">
        <v>44</v>
      </c>
      <c r="H38" s="34">
        <v>4.7300000000000004</v>
      </c>
      <c r="I38" s="35"/>
      <c r="J38" s="35">
        <v>7.6</v>
      </c>
      <c r="K38" s="36"/>
      <c r="L38" s="33" t="s">
        <v>228</v>
      </c>
    </row>
    <row r="39" spans="1:12" s="42" customFormat="1" x14ac:dyDescent="0.2">
      <c r="A39" s="14">
        <v>30</v>
      </c>
      <c r="B39" s="32" t="s">
        <v>131</v>
      </c>
      <c r="C39" s="32" t="s">
        <v>132</v>
      </c>
      <c r="D39" s="33">
        <v>1</v>
      </c>
      <c r="E39" s="33" t="s">
        <v>36</v>
      </c>
      <c r="F39" s="32" t="s">
        <v>37</v>
      </c>
      <c r="G39" s="33" t="s">
        <v>44</v>
      </c>
      <c r="H39" s="34">
        <v>3.1</v>
      </c>
      <c r="I39" s="35"/>
      <c r="J39" s="35">
        <v>4.3</v>
      </c>
      <c r="K39" s="36"/>
      <c r="L39" s="33" t="s">
        <v>229</v>
      </c>
    </row>
    <row r="40" spans="1:12" x14ac:dyDescent="0.2">
      <c r="A40" s="14">
        <v>31</v>
      </c>
      <c r="B40" s="14" t="s">
        <v>133</v>
      </c>
      <c r="C40" s="14" t="s">
        <v>134</v>
      </c>
      <c r="D40" s="15">
        <v>1</v>
      </c>
      <c r="E40" s="2" t="s">
        <v>36</v>
      </c>
      <c r="F40" s="10" t="s">
        <v>135</v>
      </c>
      <c r="G40" s="2" t="s">
        <v>45</v>
      </c>
      <c r="H40" s="8"/>
      <c r="I40" s="4"/>
      <c r="J40" s="4"/>
      <c r="K40" s="9"/>
      <c r="L40" s="31"/>
    </row>
    <row r="41" spans="1:12" x14ac:dyDescent="0.2">
      <c r="A41" s="14">
        <v>32</v>
      </c>
      <c r="B41" s="14" t="s">
        <v>136</v>
      </c>
      <c r="C41" s="14" t="s">
        <v>137</v>
      </c>
      <c r="D41" s="15">
        <v>1</v>
      </c>
      <c r="E41" s="2" t="s">
        <v>36</v>
      </c>
      <c r="F41" s="1" t="s">
        <v>42</v>
      </c>
      <c r="G41" s="12" t="s">
        <v>45</v>
      </c>
      <c r="H41" s="8"/>
      <c r="I41" s="4"/>
      <c r="J41" s="4"/>
      <c r="K41" s="9"/>
      <c r="L41" s="31"/>
    </row>
    <row r="42" spans="1:12" x14ac:dyDescent="0.2">
      <c r="A42" s="14">
        <v>33</v>
      </c>
      <c r="B42" s="14" t="s">
        <v>138</v>
      </c>
      <c r="C42" s="14" t="s">
        <v>139</v>
      </c>
      <c r="D42" s="15">
        <v>1</v>
      </c>
      <c r="E42" s="2" t="s">
        <v>36</v>
      </c>
      <c r="F42" s="10" t="s">
        <v>39</v>
      </c>
      <c r="G42" s="2" t="s">
        <v>45</v>
      </c>
      <c r="H42" s="8"/>
      <c r="I42" s="4"/>
      <c r="J42" s="4"/>
      <c r="K42" s="9"/>
      <c r="L42" s="31"/>
    </row>
    <row r="43" spans="1:12" x14ac:dyDescent="0.2">
      <c r="A43" s="14">
        <v>34</v>
      </c>
      <c r="B43" s="14" t="s">
        <v>140</v>
      </c>
      <c r="C43" s="14" t="s">
        <v>141</v>
      </c>
      <c r="D43" s="15">
        <v>2</v>
      </c>
      <c r="E43" s="2" t="s">
        <v>36</v>
      </c>
      <c r="F43" s="1" t="s">
        <v>42</v>
      </c>
      <c r="G43" s="2" t="s">
        <v>45</v>
      </c>
      <c r="H43" s="8"/>
      <c r="I43" s="4"/>
      <c r="J43" s="4"/>
      <c r="K43" s="9"/>
      <c r="L43" s="31"/>
    </row>
    <row r="44" spans="1:12" x14ac:dyDescent="0.2">
      <c r="A44" s="14">
        <v>35</v>
      </c>
      <c r="B44" s="14" t="s">
        <v>142</v>
      </c>
      <c r="C44" s="14" t="s">
        <v>143</v>
      </c>
      <c r="D44" s="15">
        <v>2</v>
      </c>
      <c r="E44" s="2" t="s">
        <v>36</v>
      </c>
      <c r="F44" s="10" t="s">
        <v>42</v>
      </c>
      <c r="G44" s="12" t="s">
        <v>45</v>
      </c>
      <c r="H44" s="8"/>
      <c r="I44" s="4"/>
      <c r="J44" s="4"/>
      <c r="K44" s="9"/>
      <c r="L44" s="31"/>
    </row>
    <row r="45" spans="1:12" x14ac:dyDescent="0.2">
      <c r="A45" s="14">
        <v>36</v>
      </c>
      <c r="B45" s="14" t="s">
        <v>146</v>
      </c>
      <c r="C45" s="14" t="s">
        <v>147</v>
      </c>
      <c r="D45" s="15">
        <v>1</v>
      </c>
      <c r="E45" s="2" t="s">
        <v>36</v>
      </c>
      <c r="F45" s="10" t="s">
        <v>135</v>
      </c>
      <c r="G45" s="12" t="s">
        <v>45</v>
      </c>
      <c r="H45" s="13"/>
      <c r="I45" s="4"/>
      <c r="J45" s="4"/>
      <c r="K45" s="9"/>
      <c r="L45" s="31"/>
    </row>
    <row r="46" spans="1:12" x14ac:dyDescent="0.2">
      <c r="A46" s="14">
        <v>37</v>
      </c>
      <c r="B46" s="14" t="s">
        <v>149</v>
      </c>
      <c r="C46" s="14" t="s">
        <v>150</v>
      </c>
      <c r="D46" s="15">
        <v>2</v>
      </c>
      <c r="E46" s="2" t="s">
        <v>36</v>
      </c>
      <c r="F46" s="10" t="s">
        <v>97</v>
      </c>
      <c r="G46" s="2" t="s">
        <v>45</v>
      </c>
      <c r="H46" s="8"/>
      <c r="I46" s="4"/>
      <c r="J46" s="4"/>
      <c r="K46" s="9"/>
      <c r="L46" s="31"/>
    </row>
    <row r="47" spans="1:12" x14ac:dyDescent="0.2">
      <c r="A47" s="14">
        <v>38</v>
      </c>
      <c r="B47" s="14" t="s">
        <v>153</v>
      </c>
      <c r="C47" s="14" t="s">
        <v>154</v>
      </c>
      <c r="D47" s="15">
        <v>2</v>
      </c>
      <c r="E47" s="2" t="s">
        <v>36</v>
      </c>
      <c r="F47" s="10" t="s">
        <v>97</v>
      </c>
      <c r="G47" s="2" t="s">
        <v>45</v>
      </c>
      <c r="H47" s="8"/>
      <c r="I47" s="4"/>
      <c r="J47" s="4"/>
      <c r="K47" s="9"/>
      <c r="L47" s="31"/>
    </row>
    <row r="48" spans="1:12" x14ac:dyDescent="0.2">
      <c r="A48" s="14">
        <v>39</v>
      </c>
      <c r="B48" s="14" t="s">
        <v>157</v>
      </c>
      <c r="C48" s="14" t="s">
        <v>158</v>
      </c>
      <c r="D48" s="15">
        <v>1</v>
      </c>
      <c r="E48" s="2" t="s">
        <v>36</v>
      </c>
      <c r="F48" s="1" t="s">
        <v>43</v>
      </c>
      <c r="G48" s="2" t="s">
        <v>45</v>
      </c>
      <c r="H48" s="8"/>
      <c r="I48" s="4"/>
      <c r="J48" s="4"/>
      <c r="K48" s="9"/>
      <c r="L48" s="31"/>
    </row>
    <row r="49" spans="1:12" x14ac:dyDescent="0.2">
      <c r="A49" s="14">
        <v>40</v>
      </c>
      <c r="B49" s="32" t="s">
        <v>159</v>
      </c>
      <c r="C49" s="32" t="s">
        <v>160</v>
      </c>
      <c r="D49" s="33">
        <v>1</v>
      </c>
      <c r="E49" s="33" t="s">
        <v>36</v>
      </c>
      <c r="F49" s="32" t="s">
        <v>37</v>
      </c>
      <c r="G49" s="33" t="s">
        <v>44</v>
      </c>
      <c r="H49" s="34">
        <v>0.7</v>
      </c>
      <c r="I49" s="4"/>
      <c r="J49" s="4"/>
      <c r="K49" s="9"/>
      <c r="L49" s="33" t="s">
        <v>230</v>
      </c>
    </row>
    <row r="50" spans="1:12" x14ac:dyDescent="0.2">
      <c r="A50" s="17">
        <v>41</v>
      </c>
      <c r="B50" s="17" t="s">
        <v>163</v>
      </c>
      <c r="C50" s="17" t="s">
        <v>164</v>
      </c>
      <c r="D50" s="18">
        <v>2</v>
      </c>
      <c r="E50" s="19" t="s">
        <v>36</v>
      </c>
      <c r="F50" s="16" t="s">
        <v>42</v>
      </c>
      <c r="G50" s="19" t="s">
        <v>75</v>
      </c>
      <c r="H50" s="20"/>
      <c r="I50" s="21"/>
      <c r="J50" s="21"/>
      <c r="K50" s="22"/>
      <c r="L50" s="45"/>
    </row>
    <row r="51" spans="1:12" x14ac:dyDescent="0.2">
      <c r="A51" s="14">
        <v>41.1</v>
      </c>
      <c r="B51" s="14" t="s">
        <v>212</v>
      </c>
      <c r="C51" s="14" t="s">
        <v>165</v>
      </c>
      <c r="D51" s="15">
        <v>1</v>
      </c>
      <c r="E51" s="2" t="s">
        <v>36</v>
      </c>
      <c r="F51" s="30" t="s">
        <v>42</v>
      </c>
      <c r="G51" s="31" t="s">
        <v>75</v>
      </c>
      <c r="H51" s="29">
        <v>0.02</v>
      </c>
      <c r="I51" s="29">
        <v>1E-3</v>
      </c>
      <c r="J51" s="29">
        <v>2.1000000000000001E-2</v>
      </c>
      <c r="K51" s="9" t="s">
        <v>166</v>
      </c>
      <c r="L51" s="31" t="s">
        <v>167</v>
      </c>
    </row>
    <row r="52" spans="1:12" x14ac:dyDescent="0.2">
      <c r="A52" s="14">
        <v>41.2</v>
      </c>
      <c r="B52" s="14" t="s">
        <v>213</v>
      </c>
      <c r="C52" s="14" t="s">
        <v>168</v>
      </c>
      <c r="D52" s="15">
        <v>1</v>
      </c>
      <c r="E52" s="2" t="s">
        <v>36</v>
      </c>
      <c r="F52" s="30" t="s">
        <v>42</v>
      </c>
      <c r="G52" s="31" t="s">
        <v>75</v>
      </c>
      <c r="H52" s="29">
        <v>5.0000000000000001E-3</v>
      </c>
      <c r="I52" s="29">
        <v>2.5000000000000001E-4</v>
      </c>
      <c r="J52" s="29">
        <v>5.2500000000000003E-3</v>
      </c>
      <c r="K52" s="9" t="s">
        <v>169</v>
      </c>
      <c r="L52" s="31" t="s">
        <v>170</v>
      </c>
    </row>
    <row r="53" spans="1:12" x14ac:dyDescent="0.2">
      <c r="A53" s="14">
        <v>42</v>
      </c>
      <c r="B53" s="14" t="s">
        <v>173</v>
      </c>
      <c r="C53" s="14" t="s">
        <v>174</v>
      </c>
      <c r="D53" s="15">
        <v>1</v>
      </c>
      <c r="E53" s="2" t="s">
        <v>36</v>
      </c>
      <c r="F53" s="1" t="s">
        <v>114</v>
      </c>
      <c r="G53" s="2" t="s">
        <v>45</v>
      </c>
      <c r="H53" s="1"/>
      <c r="I53" s="2"/>
      <c r="J53" s="9"/>
      <c r="K53" s="9"/>
      <c r="L53" s="31"/>
    </row>
    <row r="54" spans="1:12" x14ac:dyDescent="0.2">
      <c r="A54" s="14">
        <v>43</v>
      </c>
      <c r="B54" s="14" t="s">
        <v>175</v>
      </c>
      <c r="C54" s="14" t="s">
        <v>176</v>
      </c>
      <c r="D54" s="15">
        <v>1</v>
      </c>
      <c r="E54" s="2" t="s">
        <v>36</v>
      </c>
      <c r="F54" s="1" t="s">
        <v>114</v>
      </c>
      <c r="G54" s="2" t="s">
        <v>45</v>
      </c>
      <c r="H54" s="1"/>
      <c r="I54" s="31"/>
      <c r="J54" s="9"/>
      <c r="K54" s="9"/>
      <c r="L54" s="31"/>
    </row>
    <row r="55" spans="1:12" x14ac:dyDescent="0.2">
      <c r="A55" s="14">
        <v>44</v>
      </c>
      <c r="B55" s="14" t="s">
        <v>177</v>
      </c>
      <c r="C55" s="14" t="s">
        <v>178</v>
      </c>
      <c r="D55" s="15">
        <v>2</v>
      </c>
      <c r="E55" s="2" t="s">
        <v>36</v>
      </c>
      <c r="F55" s="1" t="s">
        <v>179</v>
      </c>
      <c r="G55" s="12" t="s">
        <v>45</v>
      </c>
      <c r="H55" s="1"/>
      <c r="I55" s="2"/>
      <c r="J55" s="9"/>
      <c r="K55" s="9"/>
      <c r="L55" s="31"/>
    </row>
    <row r="56" spans="1:12" x14ac:dyDescent="0.2">
      <c r="A56" s="14">
        <v>45</v>
      </c>
      <c r="B56" s="14" t="s">
        <v>180</v>
      </c>
      <c r="C56" s="14" t="s">
        <v>181</v>
      </c>
      <c r="D56" s="15">
        <v>2</v>
      </c>
      <c r="E56" s="2" t="s">
        <v>36</v>
      </c>
      <c r="F56" s="1" t="s">
        <v>41</v>
      </c>
      <c r="G56" s="12" t="s">
        <v>45</v>
      </c>
      <c r="H56" s="1"/>
      <c r="I56" s="2"/>
      <c r="J56" s="9"/>
      <c r="K56" s="9"/>
      <c r="L56" s="31"/>
    </row>
    <row r="57" spans="1:12" x14ac:dyDescent="0.2">
      <c r="A57" s="14">
        <v>46</v>
      </c>
      <c r="B57" s="14" t="s">
        <v>182</v>
      </c>
      <c r="C57" s="14" t="s">
        <v>183</v>
      </c>
      <c r="D57" s="15">
        <v>2</v>
      </c>
      <c r="E57" s="2" t="s">
        <v>36</v>
      </c>
      <c r="F57" s="10" t="s">
        <v>43</v>
      </c>
      <c r="G57" s="2" t="s">
        <v>45</v>
      </c>
      <c r="H57" s="1"/>
      <c r="I57" s="2"/>
      <c r="J57" s="9"/>
      <c r="K57" s="9"/>
      <c r="L57" s="31"/>
    </row>
    <row r="58" spans="1:12" x14ac:dyDescent="0.2">
      <c r="A58" s="14">
        <v>47</v>
      </c>
      <c r="B58" s="14" t="s">
        <v>232</v>
      </c>
      <c r="C58" s="14" t="s">
        <v>231</v>
      </c>
      <c r="D58" s="15">
        <v>4</v>
      </c>
      <c r="E58" s="2" t="s">
        <v>36</v>
      </c>
      <c r="F58" s="1" t="s">
        <v>39</v>
      </c>
      <c r="G58" s="2" t="s">
        <v>45</v>
      </c>
      <c r="H58" s="1"/>
      <c r="I58" s="2"/>
      <c r="J58" s="9"/>
      <c r="K58" s="9"/>
      <c r="L58" s="31"/>
    </row>
    <row r="59" spans="1:12" x14ac:dyDescent="0.2">
      <c r="A59" s="47">
        <v>48</v>
      </c>
      <c r="B59" s="47" t="s">
        <v>184</v>
      </c>
      <c r="C59" s="47" t="s">
        <v>185</v>
      </c>
      <c r="D59" s="48">
        <v>2</v>
      </c>
      <c r="E59" s="49" t="s">
        <v>36</v>
      </c>
      <c r="F59" s="50" t="s">
        <v>97</v>
      </c>
      <c r="G59" s="49" t="s">
        <v>45</v>
      </c>
      <c r="H59" s="50"/>
      <c r="I59" s="49"/>
      <c r="J59" s="53"/>
      <c r="K59" s="53" t="s">
        <v>234</v>
      </c>
      <c r="L59" s="54"/>
    </row>
    <row r="60" spans="1:12" x14ac:dyDescent="0.2">
      <c r="A60" s="14">
        <v>49</v>
      </c>
      <c r="B60" s="14" t="s">
        <v>188</v>
      </c>
      <c r="C60" s="14" t="s">
        <v>189</v>
      </c>
      <c r="D60" s="15">
        <v>4</v>
      </c>
      <c r="E60" s="2" t="s">
        <v>36</v>
      </c>
      <c r="F60" s="10" t="s">
        <v>41</v>
      </c>
      <c r="G60" s="2" t="s">
        <v>45</v>
      </c>
      <c r="H60" s="1"/>
      <c r="I60" s="2"/>
      <c r="J60" s="9"/>
      <c r="K60" s="9"/>
      <c r="L60" s="31"/>
    </row>
    <row r="61" spans="1:12" x14ac:dyDescent="0.2">
      <c r="A61" s="14">
        <v>50</v>
      </c>
      <c r="B61" s="14" t="s">
        <v>190</v>
      </c>
      <c r="C61" s="14" t="s">
        <v>191</v>
      </c>
      <c r="D61" s="15">
        <v>2</v>
      </c>
      <c r="E61" s="2" t="s">
        <v>36</v>
      </c>
      <c r="F61" s="1" t="s">
        <v>41</v>
      </c>
      <c r="G61" s="2" t="s">
        <v>45</v>
      </c>
      <c r="H61" s="1"/>
      <c r="I61" s="2"/>
      <c r="J61" s="9"/>
      <c r="K61" s="9"/>
      <c r="L61" s="31"/>
    </row>
    <row r="62" spans="1:12" x14ac:dyDescent="0.2">
      <c r="A62" s="14">
        <v>51</v>
      </c>
      <c r="B62" s="14" t="s">
        <v>192</v>
      </c>
      <c r="C62" s="14" t="s">
        <v>193</v>
      </c>
      <c r="D62" s="15">
        <v>2</v>
      </c>
      <c r="E62" s="2" t="s">
        <v>36</v>
      </c>
      <c r="F62" s="1" t="s">
        <v>37</v>
      </c>
      <c r="G62" s="2" t="s">
        <v>45</v>
      </c>
      <c r="H62" s="1"/>
      <c r="I62" s="2"/>
      <c r="J62" s="2"/>
      <c r="K62" s="9"/>
      <c r="L62" s="31"/>
    </row>
    <row r="63" spans="1:12" x14ac:dyDescent="0.2">
      <c r="A63" s="14">
        <v>52</v>
      </c>
      <c r="B63" s="14" t="s">
        <v>194</v>
      </c>
      <c r="C63" s="14" t="s">
        <v>195</v>
      </c>
      <c r="D63" s="15">
        <v>6</v>
      </c>
      <c r="E63" s="2" t="s">
        <v>36</v>
      </c>
      <c r="F63" s="10" t="s">
        <v>38</v>
      </c>
      <c r="G63" s="2" t="s">
        <v>45</v>
      </c>
      <c r="H63" s="1"/>
      <c r="I63" s="31"/>
      <c r="J63" s="31"/>
      <c r="K63" s="9"/>
      <c r="L63" s="31"/>
    </row>
    <row r="64" spans="1:12" x14ac:dyDescent="0.2">
      <c r="A64" s="14">
        <v>53</v>
      </c>
      <c r="B64" s="14" t="s">
        <v>196</v>
      </c>
      <c r="C64" s="14" t="s">
        <v>197</v>
      </c>
      <c r="D64" s="15">
        <v>12</v>
      </c>
      <c r="E64" s="2" t="s">
        <v>36</v>
      </c>
      <c r="F64" s="1" t="s">
        <v>42</v>
      </c>
      <c r="G64" s="12" t="s">
        <v>45</v>
      </c>
      <c r="H64" s="1"/>
      <c r="I64" s="2"/>
      <c r="J64" s="2"/>
      <c r="K64" s="9"/>
      <c r="L64" s="31"/>
    </row>
    <row r="65" spans="1:12" x14ac:dyDescent="0.2">
      <c r="A65" s="14">
        <v>54</v>
      </c>
      <c r="B65" s="14" t="s">
        <v>198</v>
      </c>
      <c r="C65" s="14" t="s">
        <v>199</v>
      </c>
      <c r="D65" s="15">
        <v>180</v>
      </c>
      <c r="E65" s="2" t="s">
        <v>36</v>
      </c>
      <c r="F65" s="1" t="s">
        <v>97</v>
      </c>
      <c r="G65" s="12" t="s">
        <v>45</v>
      </c>
      <c r="H65" s="1"/>
      <c r="I65" s="2"/>
      <c r="J65" s="2"/>
      <c r="K65" s="9"/>
      <c r="L65" s="31"/>
    </row>
    <row r="66" spans="1:12" x14ac:dyDescent="0.2">
      <c r="A66" s="14">
        <v>55</v>
      </c>
      <c r="B66" s="14" t="s">
        <v>200</v>
      </c>
      <c r="C66" s="14" t="s">
        <v>201</v>
      </c>
      <c r="D66" s="15">
        <v>6</v>
      </c>
      <c r="E66" s="2" t="s">
        <v>36</v>
      </c>
      <c r="F66" s="10" t="s">
        <v>135</v>
      </c>
      <c r="G66" s="2" t="s">
        <v>45</v>
      </c>
      <c r="H66" s="1"/>
      <c r="I66" s="2"/>
      <c r="J66" s="2"/>
      <c r="K66" s="9"/>
      <c r="L66" s="31"/>
    </row>
    <row r="67" spans="1:12" x14ac:dyDescent="0.2">
      <c r="A67" s="14">
        <v>56</v>
      </c>
      <c r="B67" s="14" t="s">
        <v>202</v>
      </c>
      <c r="C67" s="14" t="s">
        <v>203</v>
      </c>
      <c r="D67" s="15">
        <v>2</v>
      </c>
      <c r="E67" s="2" t="s">
        <v>36</v>
      </c>
      <c r="F67" s="1" t="s">
        <v>42</v>
      </c>
      <c r="G67" s="2" t="s">
        <v>75</v>
      </c>
      <c r="H67" s="1">
        <v>0.115</v>
      </c>
      <c r="I67" s="2">
        <v>5.5000000000000007E-2</v>
      </c>
      <c r="J67" s="9">
        <v>0.17</v>
      </c>
      <c r="K67" s="9" t="s">
        <v>204</v>
      </c>
      <c r="L67" s="31" t="s">
        <v>205</v>
      </c>
    </row>
    <row r="68" spans="1:12" x14ac:dyDescent="0.2">
      <c r="A68" s="14">
        <v>57</v>
      </c>
      <c r="B68" s="14" t="s">
        <v>210</v>
      </c>
      <c r="C68" s="14" t="s">
        <v>211</v>
      </c>
      <c r="D68" s="15">
        <v>2</v>
      </c>
      <c r="E68" s="2" t="s">
        <v>36</v>
      </c>
      <c r="F68" s="1" t="s">
        <v>42</v>
      </c>
      <c r="G68" s="2" t="s">
        <v>45</v>
      </c>
      <c r="H68" s="1"/>
      <c r="I68" s="2"/>
      <c r="J68" s="2"/>
      <c r="K68" s="9"/>
      <c r="L68" s="31"/>
    </row>
    <row r="69" spans="1:12" x14ac:dyDescent="0.2">
      <c r="A69" s="14">
        <v>58</v>
      </c>
      <c r="B69" s="1" t="s">
        <v>14</v>
      </c>
      <c r="C69" s="1" t="s">
        <v>15</v>
      </c>
      <c r="D69" s="2">
        <v>2</v>
      </c>
      <c r="E69" s="2" t="s">
        <v>36</v>
      </c>
      <c r="F69" s="12" t="s">
        <v>39</v>
      </c>
      <c r="G69" s="2" t="s">
        <v>45</v>
      </c>
      <c r="H69" s="4"/>
      <c r="I69" s="4"/>
      <c r="J69" s="4"/>
      <c r="K69" s="9"/>
      <c r="L69" s="31"/>
    </row>
    <row r="70" spans="1:12" x14ac:dyDescent="0.2">
      <c r="A70" s="14">
        <v>59</v>
      </c>
      <c r="B70" s="14" t="s">
        <v>155</v>
      </c>
      <c r="C70" s="14" t="s">
        <v>156</v>
      </c>
      <c r="D70" s="15">
        <v>2</v>
      </c>
      <c r="E70" s="2" t="s">
        <v>36</v>
      </c>
      <c r="F70" s="2" t="s">
        <v>39</v>
      </c>
      <c r="G70" s="2" t="s">
        <v>45</v>
      </c>
      <c r="H70" s="4"/>
      <c r="I70" s="4"/>
      <c r="J70" s="4"/>
      <c r="K70" s="9"/>
      <c r="L70" s="31"/>
    </row>
    <row r="71" spans="1:12" x14ac:dyDescent="0.2">
      <c r="A71" s="14">
        <v>60</v>
      </c>
      <c r="B71" s="1" t="s">
        <v>16</v>
      </c>
      <c r="C71" s="1" t="s">
        <v>17</v>
      </c>
      <c r="D71" s="2">
        <v>2</v>
      </c>
      <c r="E71" s="2" t="s">
        <v>36</v>
      </c>
      <c r="F71" s="2" t="s">
        <v>39</v>
      </c>
      <c r="G71" s="2" t="s">
        <v>45</v>
      </c>
      <c r="H71" s="4"/>
      <c r="I71" s="4"/>
      <c r="J71" s="4"/>
      <c r="K71" s="9"/>
      <c r="L71" s="31"/>
    </row>
    <row r="72" spans="1:12" x14ac:dyDescent="0.2">
      <c r="A72" s="14">
        <v>61</v>
      </c>
      <c r="B72" s="1" t="s">
        <v>9</v>
      </c>
      <c r="C72" s="1" t="s">
        <v>10</v>
      </c>
      <c r="D72" s="2">
        <v>24</v>
      </c>
      <c r="E72" s="2" t="s">
        <v>36</v>
      </c>
      <c r="F72" s="2" t="s">
        <v>39</v>
      </c>
      <c r="G72" s="2" t="s">
        <v>45</v>
      </c>
      <c r="H72" s="4"/>
      <c r="I72" s="4"/>
      <c r="J72" s="4"/>
      <c r="K72" s="9"/>
      <c r="L72" s="31"/>
    </row>
    <row r="73" spans="1:12" x14ac:dyDescent="0.2">
      <c r="A73" s="47">
        <v>62</v>
      </c>
      <c r="B73" s="47" t="s">
        <v>89</v>
      </c>
      <c r="C73" s="47" t="s">
        <v>90</v>
      </c>
      <c r="D73" s="48">
        <v>2</v>
      </c>
      <c r="E73" s="49" t="s">
        <v>36</v>
      </c>
      <c r="F73" s="49" t="s">
        <v>39</v>
      </c>
      <c r="G73" s="49" t="s">
        <v>45</v>
      </c>
      <c r="H73" s="52"/>
      <c r="I73" s="52"/>
      <c r="J73" s="52"/>
      <c r="K73" s="53" t="s">
        <v>234</v>
      </c>
      <c r="L73" s="54"/>
    </row>
    <row r="74" spans="1:12" x14ac:dyDescent="0.2">
      <c r="A74" s="14">
        <v>63</v>
      </c>
      <c r="B74" s="14" t="s">
        <v>64</v>
      </c>
      <c r="C74" s="14" t="s">
        <v>65</v>
      </c>
      <c r="D74" s="15">
        <v>1</v>
      </c>
      <c r="E74" s="2" t="s">
        <v>36</v>
      </c>
      <c r="F74" s="12" t="s">
        <v>39</v>
      </c>
      <c r="G74" s="2" t="s">
        <v>45</v>
      </c>
      <c r="H74" s="4"/>
      <c r="I74" s="4"/>
      <c r="J74" s="4"/>
      <c r="K74" s="9"/>
      <c r="L74" s="31"/>
    </row>
    <row r="75" spans="1:12" x14ac:dyDescent="0.2">
      <c r="A75" s="14">
        <v>64</v>
      </c>
      <c r="B75" s="14" t="s">
        <v>161</v>
      </c>
      <c r="C75" s="14" t="s">
        <v>162</v>
      </c>
      <c r="D75" s="15">
        <v>3</v>
      </c>
      <c r="E75" s="2" t="s">
        <v>36</v>
      </c>
      <c r="F75" s="31" t="s">
        <v>39</v>
      </c>
      <c r="G75" s="31" t="s">
        <v>45</v>
      </c>
      <c r="H75" s="4"/>
      <c r="I75" s="4"/>
      <c r="J75" s="4"/>
      <c r="K75" s="9"/>
      <c r="L75" s="31"/>
    </row>
    <row r="76" spans="1:12" x14ac:dyDescent="0.2">
      <c r="A76" s="14">
        <v>65</v>
      </c>
      <c r="B76" s="14" t="s">
        <v>171</v>
      </c>
      <c r="C76" s="14" t="s">
        <v>172</v>
      </c>
      <c r="D76" s="15">
        <v>2</v>
      </c>
      <c r="E76" s="2" t="s">
        <v>36</v>
      </c>
      <c r="F76" s="31" t="s">
        <v>39</v>
      </c>
      <c r="G76" s="31" t="s">
        <v>45</v>
      </c>
      <c r="H76" s="4"/>
      <c r="I76" s="4"/>
      <c r="J76" s="4"/>
      <c r="K76" s="9"/>
      <c r="L76" s="31"/>
    </row>
    <row r="77" spans="1:12" x14ac:dyDescent="0.2">
      <c r="A77" s="14">
        <v>66</v>
      </c>
      <c r="B77" s="14" t="s">
        <v>54</v>
      </c>
      <c r="C77" s="14" t="s">
        <v>55</v>
      </c>
      <c r="D77" s="15">
        <v>12</v>
      </c>
      <c r="E77" s="2" t="s">
        <v>36</v>
      </c>
      <c r="F77" s="2" t="s">
        <v>39</v>
      </c>
      <c r="G77" s="12" t="s">
        <v>45</v>
      </c>
      <c r="H77" s="4"/>
      <c r="I77" s="4"/>
      <c r="J77" s="4"/>
      <c r="K77" s="9"/>
      <c r="L77" s="31"/>
    </row>
    <row r="78" spans="1:12" x14ac:dyDescent="0.2">
      <c r="A78" s="14">
        <v>67</v>
      </c>
      <c r="B78" s="14" t="s">
        <v>151</v>
      </c>
      <c r="C78" s="14" t="s">
        <v>152</v>
      </c>
      <c r="D78" s="15">
        <v>10</v>
      </c>
      <c r="E78" s="2" t="s">
        <v>36</v>
      </c>
      <c r="F78" s="12" t="s">
        <v>39</v>
      </c>
      <c r="G78" s="2" t="s">
        <v>45</v>
      </c>
      <c r="H78" s="4"/>
      <c r="I78" s="25"/>
      <c r="J78" s="25"/>
      <c r="K78" s="9"/>
      <c r="L78" s="31"/>
    </row>
    <row r="79" spans="1:12" x14ac:dyDescent="0.2">
      <c r="A79" s="14">
        <v>68</v>
      </c>
      <c r="B79" s="14" t="s">
        <v>110</v>
      </c>
      <c r="C79" s="14" t="s">
        <v>111</v>
      </c>
      <c r="D79" s="15">
        <v>4</v>
      </c>
      <c r="E79" s="2" t="s">
        <v>36</v>
      </c>
      <c r="F79" s="12" t="s">
        <v>39</v>
      </c>
      <c r="G79" s="12" t="s">
        <v>45</v>
      </c>
      <c r="H79" s="4"/>
      <c r="I79" s="4"/>
      <c r="J79" s="4"/>
      <c r="K79" s="9"/>
      <c r="L79" s="31"/>
    </row>
    <row r="80" spans="1:12" x14ac:dyDescent="0.2">
      <c r="A80" s="14">
        <v>69</v>
      </c>
      <c r="B80" s="14" t="s">
        <v>108</v>
      </c>
      <c r="C80" s="14" t="s">
        <v>109</v>
      </c>
      <c r="D80" s="15">
        <v>12</v>
      </c>
      <c r="E80" s="2" t="s">
        <v>36</v>
      </c>
      <c r="F80" s="12" t="s">
        <v>39</v>
      </c>
      <c r="G80" s="12" t="s">
        <v>45</v>
      </c>
      <c r="H80" s="4"/>
      <c r="I80" s="29"/>
      <c r="J80" s="29"/>
      <c r="K80" s="9"/>
      <c r="L80" s="31"/>
    </row>
    <row r="81" spans="1:12" x14ac:dyDescent="0.2">
      <c r="A81" s="14">
        <v>70</v>
      </c>
      <c r="B81" s="1" t="s">
        <v>214</v>
      </c>
      <c r="C81" s="1" t="s">
        <v>40</v>
      </c>
      <c r="D81" s="2">
        <v>24</v>
      </c>
      <c r="E81" s="2" t="s">
        <v>36</v>
      </c>
      <c r="F81" s="12" t="s">
        <v>39</v>
      </c>
      <c r="G81" s="2" t="s">
        <v>45</v>
      </c>
      <c r="H81" s="4"/>
      <c r="I81" s="4"/>
      <c r="J81" s="4"/>
      <c r="K81" s="9"/>
      <c r="L81" s="31"/>
    </row>
    <row r="82" spans="1:12" x14ac:dyDescent="0.2">
      <c r="A82" s="14">
        <v>71</v>
      </c>
      <c r="B82" s="14" t="s">
        <v>8</v>
      </c>
      <c r="C82" s="14" t="s">
        <v>219</v>
      </c>
      <c r="D82" s="15">
        <v>10</v>
      </c>
      <c r="E82" s="2" t="s">
        <v>36</v>
      </c>
      <c r="F82" s="2" t="s">
        <v>39</v>
      </c>
      <c r="G82" s="12" t="s">
        <v>45</v>
      </c>
      <c r="H82" s="4"/>
      <c r="I82" s="4"/>
      <c r="J82" s="4"/>
      <c r="K82" s="9"/>
      <c r="L82" s="31"/>
    </row>
    <row r="83" spans="1:12" x14ac:dyDescent="0.2">
      <c r="A83" s="14">
        <v>72</v>
      </c>
      <c r="B83" s="1" t="s">
        <v>4</v>
      </c>
      <c r="C83" s="1" t="s">
        <v>5</v>
      </c>
      <c r="D83" s="2">
        <v>24</v>
      </c>
      <c r="E83" s="2" t="s">
        <v>36</v>
      </c>
      <c r="F83" s="2" t="s">
        <v>39</v>
      </c>
      <c r="G83" s="12" t="s">
        <v>45</v>
      </c>
      <c r="H83" s="4"/>
      <c r="I83" s="25"/>
      <c r="J83" s="25"/>
      <c r="K83" s="9"/>
      <c r="L83" s="31"/>
    </row>
    <row r="84" spans="1:12" x14ac:dyDescent="0.2">
      <c r="A84" s="14">
        <v>73</v>
      </c>
      <c r="B84" s="14" t="s">
        <v>71</v>
      </c>
      <c r="C84" s="14" t="s">
        <v>72</v>
      </c>
      <c r="D84" s="15">
        <v>1</v>
      </c>
      <c r="E84" s="2" t="s">
        <v>36</v>
      </c>
      <c r="F84" s="2" t="s">
        <v>39</v>
      </c>
      <c r="G84" s="2" t="s">
        <v>45</v>
      </c>
      <c r="H84" s="4"/>
      <c r="I84" s="25"/>
      <c r="J84" s="25"/>
      <c r="K84" s="9"/>
      <c r="L84" s="31"/>
    </row>
    <row r="85" spans="1:12" x14ac:dyDescent="0.2">
      <c r="A85" s="14">
        <v>74</v>
      </c>
      <c r="B85" s="14" t="s">
        <v>186</v>
      </c>
      <c r="C85" s="14" t="s">
        <v>187</v>
      </c>
      <c r="D85" s="15">
        <v>8</v>
      </c>
      <c r="E85" s="2" t="s">
        <v>36</v>
      </c>
      <c r="F85" s="2" t="s">
        <v>39</v>
      </c>
      <c r="G85" s="12" t="s">
        <v>45</v>
      </c>
      <c r="H85" s="4"/>
      <c r="I85" s="4"/>
      <c r="J85" s="4"/>
      <c r="K85" s="9"/>
      <c r="L85" s="31"/>
    </row>
    <row r="86" spans="1:12" x14ac:dyDescent="0.2">
      <c r="A86" s="14">
        <v>75</v>
      </c>
      <c r="B86" s="14" t="s">
        <v>144</v>
      </c>
      <c r="C86" s="14" t="s">
        <v>145</v>
      </c>
      <c r="D86" s="15">
        <v>8</v>
      </c>
      <c r="E86" s="2" t="s">
        <v>36</v>
      </c>
      <c r="F86" s="2" t="s">
        <v>39</v>
      </c>
      <c r="G86" s="12" t="s">
        <v>45</v>
      </c>
      <c r="H86" s="4"/>
      <c r="I86" s="29"/>
      <c r="J86" s="29"/>
      <c r="K86" s="9"/>
      <c r="L86" s="31"/>
    </row>
    <row r="87" spans="1:12" x14ac:dyDescent="0.2">
      <c r="A87" s="14">
        <v>76</v>
      </c>
      <c r="B87" s="1" t="s">
        <v>13</v>
      </c>
      <c r="C87" s="1" t="s">
        <v>218</v>
      </c>
      <c r="D87" s="2">
        <v>2</v>
      </c>
      <c r="E87" s="2" t="s">
        <v>36</v>
      </c>
      <c r="F87" s="2" t="s">
        <v>39</v>
      </c>
      <c r="G87" s="12" t="s">
        <v>45</v>
      </c>
      <c r="H87" s="4"/>
      <c r="I87" s="29"/>
      <c r="J87" s="29"/>
      <c r="K87" s="9"/>
      <c r="L87" s="31"/>
    </row>
    <row r="88" spans="1:12" x14ac:dyDescent="0.2">
      <c r="A88" s="14">
        <v>77</v>
      </c>
      <c r="B88" s="14" t="s">
        <v>208</v>
      </c>
      <c r="C88" s="14" t="s">
        <v>209</v>
      </c>
      <c r="D88" s="15">
        <v>2</v>
      </c>
      <c r="E88" s="2" t="s">
        <v>36</v>
      </c>
      <c r="F88" s="12" t="s">
        <v>39</v>
      </c>
      <c r="G88" s="2" t="s">
        <v>45</v>
      </c>
      <c r="H88" s="4"/>
      <c r="I88" s="29"/>
      <c r="J88" s="29"/>
      <c r="K88" s="9"/>
      <c r="L88" s="31"/>
    </row>
    <row r="89" spans="1:12" x14ac:dyDescent="0.2">
      <c r="A89" s="14">
        <v>78</v>
      </c>
      <c r="B89" s="14" t="s">
        <v>125</v>
      </c>
      <c r="C89" s="14" t="s">
        <v>126</v>
      </c>
      <c r="D89" s="15">
        <v>4</v>
      </c>
      <c r="E89" s="2" t="s">
        <v>36</v>
      </c>
      <c r="F89" s="2" t="s">
        <v>39</v>
      </c>
      <c r="G89" s="12" t="s">
        <v>45</v>
      </c>
      <c r="H89" s="4"/>
      <c r="I89" s="2"/>
      <c r="J89" s="9"/>
      <c r="K89" s="9"/>
      <c r="L89" s="31"/>
    </row>
    <row r="90" spans="1:12" x14ac:dyDescent="0.2">
      <c r="A90" s="14">
        <v>79</v>
      </c>
      <c r="B90" s="14" t="s">
        <v>87</v>
      </c>
      <c r="C90" s="14" t="s">
        <v>88</v>
      </c>
      <c r="D90" s="15">
        <v>2</v>
      </c>
      <c r="E90" s="2" t="s">
        <v>36</v>
      </c>
      <c r="F90" s="2" t="s">
        <v>39</v>
      </c>
      <c r="G90" s="12" t="s">
        <v>45</v>
      </c>
      <c r="H90" s="4"/>
      <c r="I90" s="2"/>
      <c r="J90" s="2"/>
      <c r="K90" s="9"/>
      <c r="L90" s="31"/>
    </row>
    <row r="91" spans="1:12" x14ac:dyDescent="0.2">
      <c r="A91" s="14">
        <v>80</v>
      </c>
      <c r="B91" s="14" t="s">
        <v>215</v>
      </c>
      <c r="C91" s="14" t="s">
        <v>148</v>
      </c>
      <c r="D91" s="15">
        <v>8</v>
      </c>
      <c r="E91" s="2" t="s">
        <v>36</v>
      </c>
      <c r="F91" s="2" t="s">
        <v>39</v>
      </c>
      <c r="G91" s="12" t="s">
        <v>45</v>
      </c>
      <c r="H91" s="4"/>
      <c r="I91" s="2"/>
      <c r="J91" s="2"/>
      <c r="K91" s="9"/>
      <c r="L91" s="31"/>
    </row>
    <row r="92" spans="1:12" x14ac:dyDescent="0.2">
      <c r="A92" s="47">
        <v>81</v>
      </c>
      <c r="B92" s="47" t="s">
        <v>206</v>
      </c>
      <c r="C92" s="47" t="s">
        <v>207</v>
      </c>
      <c r="D92" s="48">
        <v>4</v>
      </c>
      <c r="E92" s="49" t="s">
        <v>36</v>
      </c>
      <c r="F92" s="49" t="s">
        <v>39</v>
      </c>
      <c r="G92" s="49" t="s">
        <v>45</v>
      </c>
      <c r="H92" s="52"/>
      <c r="I92" s="49"/>
      <c r="J92" s="49"/>
      <c r="K92" s="53" t="s">
        <v>234</v>
      </c>
      <c r="L92" s="54"/>
    </row>
  </sheetData>
  <conditionalFormatting sqref="K25">
    <cfRule type="duplicateValues" dxfId="4" priority="5"/>
  </conditionalFormatting>
  <conditionalFormatting sqref="K20">
    <cfRule type="duplicateValues" dxfId="3" priority="4"/>
  </conditionalFormatting>
  <conditionalFormatting sqref="B69:B92">
    <cfRule type="duplicateValues" dxfId="2" priority="2"/>
    <cfRule type="duplicateValues" dxfId="1" priority="3"/>
  </conditionalFormatting>
  <conditionalFormatting sqref="K1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RND</dc:creator>
  <cp:lastModifiedBy>Agro</cp:lastModifiedBy>
  <dcterms:created xsi:type="dcterms:W3CDTF">2025-09-26T04:25:09Z</dcterms:created>
  <dcterms:modified xsi:type="dcterms:W3CDTF">2025-10-17T12:22:49Z</dcterms:modified>
</cp:coreProperties>
</file>