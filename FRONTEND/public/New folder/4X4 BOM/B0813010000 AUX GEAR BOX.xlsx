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ro\Desktop\4X4 BOM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42" i="1" l="1"/>
  <c r="I43" i="1"/>
  <c r="J43" i="1" s="1"/>
  <c r="I41" i="1"/>
  <c r="J41" i="1" s="1"/>
  <c r="I40" i="1"/>
  <c r="J40" i="1" s="1"/>
  <c r="I13" i="1" l="1"/>
  <c r="I29" i="1" l="1"/>
  <c r="I22" i="1"/>
  <c r="I37" i="1" l="1"/>
  <c r="I32" i="1"/>
  <c r="I19" i="1"/>
  <c r="I18" i="1"/>
  <c r="I7" i="1"/>
</calcChain>
</file>

<file path=xl/sharedStrings.xml><?xml version="1.0" encoding="utf-8"?>
<sst xmlns="http://schemas.openxmlformats.org/spreadsheetml/2006/main" count="265" uniqueCount="142">
  <si>
    <t>S.NO.</t>
  </si>
  <si>
    <t>PART NO</t>
  </si>
  <si>
    <t>PART DESCRIPTION</t>
  </si>
  <si>
    <t>QTY</t>
  </si>
  <si>
    <t>UM</t>
  </si>
  <si>
    <t>GROUP NAME</t>
  </si>
  <si>
    <t>SOURCE</t>
  </si>
  <si>
    <t>WT</t>
  </si>
  <si>
    <t>SCRAP WT</t>
  </si>
  <si>
    <t>RM</t>
  </si>
  <si>
    <t>RM CODE</t>
  </si>
  <si>
    <t>TOTAL WT</t>
  </si>
  <si>
    <t>M03063</t>
  </si>
  <si>
    <t>M04009</t>
  </si>
  <si>
    <t>B08130201</t>
  </si>
  <si>
    <t>Aux. Gear Box Hsg.</t>
  </si>
  <si>
    <t>B08130202</t>
  </si>
  <si>
    <t>Crown Wheel Tail Pinion Z=18/29</t>
  </si>
  <si>
    <t>B08130204</t>
  </si>
  <si>
    <t>Crown Wheel Shaft ASSY</t>
  </si>
  <si>
    <t>M17002</t>
  </si>
  <si>
    <t>Taper Roller Bearing 32309</t>
  </si>
  <si>
    <t>B08130003</t>
  </si>
  <si>
    <t>Actuator Bush - 4WD</t>
  </si>
  <si>
    <t>Spring Washer M12</t>
  </si>
  <si>
    <t>Hex. Screw M12x30</t>
  </si>
  <si>
    <t>B08130013</t>
  </si>
  <si>
    <t>Gasket - Front Cover</t>
  </si>
  <si>
    <t>B08130007</t>
  </si>
  <si>
    <t>Housing Front Cover</t>
  </si>
  <si>
    <t>M04008</t>
  </si>
  <si>
    <t>Spring Washer M10</t>
  </si>
  <si>
    <t>M03049</t>
  </si>
  <si>
    <t>Hex. Screw M10x30</t>
  </si>
  <si>
    <t>B08130014</t>
  </si>
  <si>
    <t>Gasket - Bearing Hoising LH</t>
  </si>
  <si>
    <t>B08130004</t>
  </si>
  <si>
    <t>Bearing Housing - LH</t>
  </si>
  <si>
    <t>B08130022</t>
  </si>
  <si>
    <t>M12017</t>
  </si>
  <si>
    <t>Oil Seal 60x80x10</t>
  </si>
  <si>
    <t>B08130015</t>
  </si>
  <si>
    <t>Gasket - Seal Cup</t>
  </si>
  <si>
    <t>B08130009</t>
  </si>
  <si>
    <t>Seal Cup</t>
  </si>
  <si>
    <t>M32001</t>
  </si>
  <si>
    <t>Allen Screw M6x20</t>
  </si>
  <si>
    <t>M84004</t>
  </si>
  <si>
    <t>Ring Nut M42x1.5</t>
  </si>
  <si>
    <t>M42015</t>
  </si>
  <si>
    <t>Needle Bush Bearing</t>
  </si>
  <si>
    <t>B08130001</t>
  </si>
  <si>
    <t>Output Shaft - 4 WD</t>
  </si>
  <si>
    <t>M15020</t>
  </si>
  <si>
    <t>Ball Bearing 6308</t>
  </si>
  <si>
    <t>B08130016</t>
  </si>
  <si>
    <t>Gasket - Bearing Housing Rear</t>
  </si>
  <si>
    <t>B08130005</t>
  </si>
  <si>
    <t>Bearing Housing - Rear</t>
  </si>
  <si>
    <t>B08130021</t>
  </si>
  <si>
    <t>M11049</t>
  </si>
  <si>
    <t>Internal Circlip B90</t>
  </si>
  <si>
    <t>B08130020</t>
  </si>
  <si>
    <t>Spacer 55x40x20</t>
  </si>
  <si>
    <t>M12013</t>
  </si>
  <si>
    <t>Oil Seal 55x90x10</t>
  </si>
  <si>
    <t>M84005</t>
  </si>
  <si>
    <t>Ring Nut M38x1.5</t>
  </si>
  <si>
    <t>B08030004</t>
  </si>
  <si>
    <t>Actuator Fork</t>
  </si>
  <si>
    <t>M02029</t>
  </si>
  <si>
    <t>Hex. Bolt M10x45</t>
  </si>
  <si>
    <t>B08130012</t>
  </si>
  <si>
    <t>Shifter Shaft - 4wd</t>
  </si>
  <si>
    <t>B08030006</t>
  </si>
  <si>
    <t>Woodruff Key</t>
  </si>
  <si>
    <t>B08130400</t>
  </si>
  <si>
    <t>M02066</t>
  </si>
  <si>
    <t>Hex. Head Bolt M16x50</t>
  </si>
  <si>
    <t>M05009</t>
  </si>
  <si>
    <t>Plain Washer M16</t>
  </si>
  <si>
    <t>M04010</t>
  </si>
  <si>
    <t>Spring Washer M16</t>
  </si>
  <si>
    <t>M03091</t>
  </si>
  <si>
    <t>Hex. Screw M16x30</t>
  </si>
  <si>
    <t>NO</t>
  </si>
  <si>
    <t>CASTING</t>
  </si>
  <si>
    <t>GEAR AND SPROCKET</t>
  </si>
  <si>
    <t>BEARING</t>
  </si>
  <si>
    <t>INHOUSE MACHINING</t>
  </si>
  <si>
    <t>BOP</t>
  </si>
  <si>
    <t>WELDMENT</t>
  </si>
  <si>
    <t>FASTENER</t>
  </si>
  <si>
    <t>GASKET</t>
  </si>
  <si>
    <t>B08150021</t>
  </si>
  <si>
    <t>BUSH AND SPACER</t>
  </si>
  <si>
    <t>PROP</t>
  </si>
  <si>
    <t>FORGING</t>
  </si>
  <si>
    <t>TURNED PART</t>
  </si>
  <si>
    <t>INHOUSE</t>
  </si>
  <si>
    <t>Mounting Bracket - Aux Gear Box 4WD</t>
  </si>
  <si>
    <t>Crown Wheel Shaft - Aux Gear Box</t>
  </si>
  <si>
    <t>B08130206</t>
  </si>
  <si>
    <t>Crown Wheel Flange - Aux Gear Box</t>
  </si>
  <si>
    <t>FABRICATION</t>
  </si>
  <si>
    <t>B08130205</t>
  </si>
  <si>
    <t xml:space="preserve">HR SHEET 1500X3150X20 </t>
  </si>
  <si>
    <t>PRMSH110</t>
  </si>
  <si>
    <t>CB08130007</t>
  </si>
  <si>
    <t>CB08130201</t>
  </si>
  <si>
    <t>CB08130004</t>
  </si>
  <si>
    <t>Spacer 40.5x55x26L</t>
  </si>
  <si>
    <t>PRMRU0032</t>
  </si>
  <si>
    <t xml:space="preserve">M.S ROUND 58MM </t>
  </si>
  <si>
    <t>Spacer 45x60x17L</t>
  </si>
  <si>
    <t>PRMRU0022</t>
  </si>
  <si>
    <t>M.S. Round 63mm</t>
  </si>
  <si>
    <t>CB08130009</t>
  </si>
  <si>
    <t>CB08130005</t>
  </si>
  <si>
    <t>Spacer 40x55x26</t>
  </si>
  <si>
    <t>PRMRU0001</t>
  </si>
  <si>
    <t>C.R. Round En8 Dia 25mm (Grinded)</t>
  </si>
  <si>
    <t>B08130018</t>
  </si>
  <si>
    <t>Coupling Sleeve Z12</t>
  </si>
  <si>
    <t>NO.</t>
  </si>
  <si>
    <t>B08130401</t>
  </si>
  <si>
    <t>BASE PLATE GEAR BOX MH PLATE 4X4</t>
  </si>
  <si>
    <t>H.R. SHEET 1500 x 3150 x 8</t>
  </si>
  <si>
    <t>B08130402</t>
  </si>
  <si>
    <t>B08130403</t>
  </si>
  <si>
    <t>B08130404</t>
  </si>
  <si>
    <t>STRIP PLATE 7.5''</t>
  </si>
  <si>
    <t>SUPPORT PLATE-GEAR BOX MTG BRACKET 4X4</t>
  </si>
  <si>
    <t>ANGLE 50x50x8x16''</t>
  </si>
  <si>
    <t>PRMSH021</t>
  </si>
  <si>
    <t>MS ANGLE50X50X8</t>
  </si>
  <si>
    <t>PRMFL017</t>
  </si>
  <si>
    <t>MS FLAT 150X10</t>
  </si>
  <si>
    <t>MS FLAT 65X8</t>
  </si>
  <si>
    <t>PRMFL003</t>
  </si>
  <si>
    <t>Aux Gear Box Assy 4X4 (FOR ITALIAN AXLE)</t>
  </si>
  <si>
    <t>B0813010000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</si>
</sst>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top"/>
    </xf>
    <xf numFmtId="2" fontId="1" fillId="5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zoomScale="115" zoomScaleNormal="115" workbookViewId="0">
      <pane ySplit="1" topLeftCell="A35" activePane="bottomLeft" state="frozen"/>
      <selection pane="bottomLeft" activeCell="B48" sqref="B48"/>
    </sheetView>
  </sheetViews>
  <sheetFormatPr defaultRowHeight="15" x14ac:dyDescent="0.25"/>
  <cols>
    <col min="1" max="1" width="4.5703125" bestFit="1" customWidth="1"/>
    <col min="2" max="2" width="11.42578125" bestFit="1" customWidth="1"/>
    <col min="3" max="3" width="30.85546875" bestFit="1" customWidth="1"/>
    <col min="4" max="4" width="3.42578125" bestFit="1" customWidth="1"/>
    <col min="5" max="5" width="4.140625" bestFit="1" customWidth="1"/>
    <col min="6" max="6" width="21.5703125" bestFit="1" customWidth="1"/>
    <col min="7" max="7" width="15.140625" bestFit="1" customWidth="1"/>
    <col min="8" max="8" width="5.7109375" style="21" bestFit="1" customWidth="1"/>
    <col min="9" max="9" width="7.5703125" style="21" bestFit="1" customWidth="1"/>
    <col min="10" max="10" width="7.42578125" style="21" bestFit="1" customWidth="1"/>
    <col min="11" max="11" width="25" style="26" customWidth="1"/>
    <col min="12" max="12" width="9.570312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17" t="s">
        <v>7</v>
      </c>
      <c r="I1" s="17" t="s">
        <v>8</v>
      </c>
      <c r="J1" s="17" t="s">
        <v>11</v>
      </c>
      <c r="K1" s="22" t="s">
        <v>9</v>
      </c>
      <c r="L1" s="3" t="s">
        <v>10</v>
      </c>
    </row>
    <row r="2" spans="1:12" x14ac:dyDescent="0.25">
      <c r="A2" s="12"/>
      <c r="B2" s="13" t="s">
        <v>141</v>
      </c>
      <c r="C2" s="13" t="s">
        <v>140</v>
      </c>
      <c r="D2" s="12"/>
      <c r="E2" s="14"/>
      <c r="F2" s="14"/>
      <c r="G2" s="14"/>
      <c r="H2" s="18"/>
      <c r="I2" s="18"/>
      <c r="J2" s="18"/>
      <c r="K2" s="23"/>
      <c r="L2" s="13"/>
    </row>
    <row r="3" spans="1:12" x14ac:dyDescent="0.25">
      <c r="A3" s="2">
        <v>1</v>
      </c>
      <c r="B3" s="3" t="s">
        <v>14</v>
      </c>
      <c r="C3" s="3" t="s">
        <v>15</v>
      </c>
      <c r="D3" s="2">
        <v>1</v>
      </c>
      <c r="E3" s="4" t="s">
        <v>85</v>
      </c>
      <c r="F3" s="4" t="s">
        <v>86</v>
      </c>
      <c r="G3" s="4" t="s">
        <v>89</v>
      </c>
      <c r="H3" s="17">
        <v>20.9</v>
      </c>
      <c r="I3" s="17">
        <v>3.7</v>
      </c>
      <c r="J3" s="17">
        <v>24.6</v>
      </c>
      <c r="K3" s="22"/>
      <c r="L3" s="3" t="s">
        <v>109</v>
      </c>
    </row>
    <row r="4" spans="1:12" x14ac:dyDescent="0.25">
      <c r="A4" s="2">
        <v>2</v>
      </c>
      <c r="B4" s="3" t="s">
        <v>16</v>
      </c>
      <c r="C4" s="3" t="s">
        <v>17</v>
      </c>
      <c r="D4" s="2">
        <v>1</v>
      </c>
      <c r="E4" s="4" t="s">
        <v>85</v>
      </c>
      <c r="F4" s="4" t="s">
        <v>87</v>
      </c>
      <c r="G4" s="4" t="s">
        <v>90</v>
      </c>
      <c r="H4" s="17"/>
      <c r="I4" s="17"/>
      <c r="J4" s="17"/>
      <c r="K4" s="22"/>
      <c r="L4" s="4"/>
    </row>
    <row r="5" spans="1:12" x14ac:dyDescent="0.25">
      <c r="A5" s="15">
        <v>3</v>
      </c>
      <c r="B5" s="16" t="s">
        <v>18</v>
      </c>
      <c r="C5" s="16" t="s">
        <v>19</v>
      </c>
      <c r="D5" s="15">
        <v>1</v>
      </c>
      <c r="E5" s="5" t="s">
        <v>85</v>
      </c>
      <c r="F5" s="5" t="s">
        <v>91</v>
      </c>
      <c r="G5" s="5" t="s">
        <v>89</v>
      </c>
      <c r="H5" s="19"/>
      <c r="I5" s="19"/>
      <c r="J5" s="19"/>
      <c r="K5" s="24"/>
      <c r="L5" s="5"/>
    </row>
    <row r="6" spans="1:12" x14ac:dyDescent="0.25">
      <c r="A6" s="2">
        <v>3.1</v>
      </c>
      <c r="B6" s="3" t="s">
        <v>105</v>
      </c>
      <c r="C6" s="3" t="s">
        <v>101</v>
      </c>
      <c r="D6" s="2">
        <v>1</v>
      </c>
      <c r="E6" s="4" t="s">
        <v>85</v>
      </c>
      <c r="F6" s="4" t="s">
        <v>87</v>
      </c>
      <c r="G6" s="4" t="s">
        <v>90</v>
      </c>
      <c r="H6" s="17"/>
      <c r="I6" s="17"/>
      <c r="J6" s="17"/>
      <c r="K6" s="22"/>
      <c r="L6" s="4"/>
    </row>
    <row r="7" spans="1:12" x14ac:dyDescent="0.25">
      <c r="A7" s="2">
        <v>3.2</v>
      </c>
      <c r="B7" s="3" t="s">
        <v>102</v>
      </c>
      <c r="C7" s="3" t="s">
        <v>103</v>
      </c>
      <c r="D7" s="2">
        <v>1</v>
      </c>
      <c r="E7" s="4" t="s">
        <v>85</v>
      </c>
      <c r="F7" s="4" t="s">
        <v>104</v>
      </c>
      <c r="G7" s="4" t="s">
        <v>99</v>
      </c>
      <c r="H7" s="17">
        <v>1.2150000000000001</v>
      </c>
      <c r="I7" s="17">
        <f>J7-H7</f>
        <v>1.4850000000000001</v>
      </c>
      <c r="J7" s="17">
        <v>2.7</v>
      </c>
      <c r="K7" s="22" t="s">
        <v>106</v>
      </c>
      <c r="L7" s="4" t="s">
        <v>107</v>
      </c>
    </row>
    <row r="8" spans="1:12" x14ac:dyDescent="0.25">
      <c r="A8" s="2">
        <v>4</v>
      </c>
      <c r="B8" s="3" t="s">
        <v>20</v>
      </c>
      <c r="C8" s="3" t="s">
        <v>21</v>
      </c>
      <c r="D8" s="2">
        <v>4</v>
      </c>
      <c r="E8" s="4" t="s">
        <v>85</v>
      </c>
      <c r="F8" s="4" t="s">
        <v>88</v>
      </c>
      <c r="G8" s="4" t="s">
        <v>90</v>
      </c>
      <c r="H8" s="17"/>
      <c r="I8" s="17"/>
      <c r="J8" s="17"/>
      <c r="K8" s="22"/>
      <c r="L8" s="4"/>
    </row>
    <row r="9" spans="1:12" x14ac:dyDescent="0.25">
      <c r="A9" s="2">
        <v>5</v>
      </c>
      <c r="B9" s="3" t="s">
        <v>22</v>
      </c>
      <c r="C9" s="3" t="s">
        <v>23</v>
      </c>
      <c r="D9" s="2">
        <v>1</v>
      </c>
      <c r="E9" s="4" t="s">
        <v>85</v>
      </c>
      <c r="F9" s="4" t="s">
        <v>87</v>
      </c>
      <c r="G9" s="4" t="s">
        <v>90</v>
      </c>
      <c r="H9" s="17"/>
      <c r="I9" s="17"/>
      <c r="J9" s="17"/>
      <c r="K9" s="22"/>
      <c r="L9" s="4"/>
    </row>
    <row r="10" spans="1:12" x14ac:dyDescent="0.25">
      <c r="A10" s="2">
        <v>6</v>
      </c>
      <c r="B10" s="3" t="s">
        <v>13</v>
      </c>
      <c r="C10" s="3" t="s">
        <v>24</v>
      </c>
      <c r="D10" s="2">
        <v>8</v>
      </c>
      <c r="E10" s="4" t="s">
        <v>85</v>
      </c>
      <c r="F10" s="4" t="s">
        <v>92</v>
      </c>
      <c r="G10" s="4" t="s">
        <v>90</v>
      </c>
      <c r="H10" s="17"/>
      <c r="I10" s="17"/>
      <c r="J10" s="17"/>
      <c r="K10" s="22"/>
      <c r="L10" s="4"/>
    </row>
    <row r="11" spans="1:12" x14ac:dyDescent="0.25">
      <c r="A11" s="2">
        <v>7</v>
      </c>
      <c r="B11" s="3" t="s">
        <v>12</v>
      </c>
      <c r="C11" s="3" t="s">
        <v>25</v>
      </c>
      <c r="D11" s="2">
        <v>8</v>
      </c>
      <c r="E11" s="4" t="s">
        <v>85</v>
      </c>
      <c r="F11" s="4" t="s">
        <v>92</v>
      </c>
      <c r="G11" s="4" t="s">
        <v>90</v>
      </c>
      <c r="H11" s="17"/>
      <c r="I11" s="17"/>
      <c r="J11" s="17"/>
      <c r="K11" s="22"/>
      <c r="L11" s="4"/>
    </row>
    <row r="12" spans="1:12" x14ac:dyDescent="0.25">
      <c r="A12" s="32">
        <v>8</v>
      </c>
      <c r="B12" s="33" t="s">
        <v>26</v>
      </c>
      <c r="C12" s="33" t="s">
        <v>27</v>
      </c>
      <c r="D12" s="32">
        <v>1</v>
      </c>
      <c r="E12" s="31" t="s">
        <v>85</v>
      </c>
      <c r="F12" s="31" t="s">
        <v>93</v>
      </c>
      <c r="G12" s="31" t="s">
        <v>90</v>
      </c>
      <c r="H12" s="34"/>
      <c r="I12" s="34"/>
      <c r="J12" s="34"/>
      <c r="K12" s="35"/>
      <c r="L12" s="31"/>
    </row>
    <row r="13" spans="1:12" x14ac:dyDescent="0.25">
      <c r="A13" s="2">
        <v>9</v>
      </c>
      <c r="B13" s="6" t="s">
        <v>28</v>
      </c>
      <c r="C13" s="6" t="s">
        <v>29</v>
      </c>
      <c r="D13" s="2">
        <v>1</v>
      </c>
      <c r="E13" s="4" t="s">
        <v>85</v>
      </c>
      <c r="F13" s="4" t="s">
        <v>86</v>
      </c>
      <c r="G13" s="4" t="s">
        <v>89</v>
      </c>
      <c r="H13" s="17">
        <v>6.84</v>
      </c>
      <c r="I13" s="17">
        <f>J13-H13</f>
        <v>2.0199999999999996</v>
      </c>
      <c r="J13" s="17">
        <v>8.86</v>
      </c>
      <c r="K13" s="22"/>
      <c r="L13" s="6" t="s">
        <v>108</v>
      </c>
    </row>
    <row r="14" spans="1:12" x14ac:dyDescent="0.25">
      <c r="A14" s="2">
        <v>10</v>
      </c>
      <c r="B14" s="6" t="s">
        <v>30</v>
      </c>
      <c r="C14" s="6" t="s">
        <v>31</v>
      </c>
      <c r="D14" s="7">
        <v>19</v>
      </c>
      <c r="E14" s="4" t="s">
        <v>85</v>
      </c>
      <c r="F14" s="4" t="s">
        <v>92</v>
      </c>
      <c r="G14" s="4" t="s">
        <v>90</v>
      </c>
      <c r="H14" s="17"/>
      <c r="I14" s="17"/>
      <c r="J14" s="17"/>
      <c r="K14" s="22"/>
      <c r="L14" s="4"/>
    </row>
    <row r="15" spans="1:12" x14ac:dyDescent="0.25">
      <c r="A15" s="2">
        <v>11</v>
      </c>
      <c r="B15" s="6" t="s">
        <v>32</v>
      </c>
      <c r="C15" s="6" t="s">
        <v>33</v>
      </c>
      <c r="D15" s="7">
        <v>19</v>
      </c>
      <c r="E15" s="4" t="s">
        <v>85</v>
      </c>
      <c r="F15" s="4" t="s">
        <v>92</v>
      </c>
      <c r="G15" s="4" t="s">
        <v>90</v>
      </c>
      <c r="H15" s="17"/>
      <c r="I15" s="17"/>
      <c r="J15" s="17"/>
      <c r="K15" s="22"/>
      <c r="L15" s="4"/>
    </row>
    <row r="16" spans="1:12" x14ac:dyDescent="0.25">
      <c r="A16" s="27">
        <v>12</v>
      </c>
      <c r="B16" s="33" t="s">
        <v>34</v>
      </c>
      <c r="C16" s="33" t="s">
        <v>35</v>
      </c>
      <c r="D16" s="27">
        <v>1</v>
      </c>
      <c r="E16" s="31" t="s">
        <v>85</v>
      </c>
      <c r="F16" s="31" t="s">
        <v>93</v>
      </c>
      <c r="G16" s="31" t="s">
        <v>90</v>
      </c>
      <c r="H16" s="34"/>
      <c r="I16" s="34"/>
      <c r="J16" s="34"/>
      <c r="K16" s="35"/>
      <c r="L16" s="31"/>
    </row>
    <row r="17" spans="1:12" x14ac:dyDescent="0.25">
      <c r="A17" s="7">
        <v>13</v>
      </c>
      <c r="B17" s="6" t="s">
        <v>36</v>
      </c>
      <c r="C17" s="6" t="s">
        <v>37</v>
      </c>
      <c r="D17" s="7">
        <v>1</v>
      </c>
      <c r="E17" s="4" t="s">
        <v>85</v>
      </c>
      <c r="F17" s="4" t="s">
        <v>86</v>
      </c>
      <c r="G17" s="4" t="s">
        <v>89</v>
      </c>
      <c r="H17" s="17">
        <v>3.13</v>
      </c>
      <c r="I17" s="17"/>
      <c r="J17" s="17"/>
      <c r="K17" s="22"/>
      <c r="L17" s="6" t="s">
        <v>110</v>
      </c>
    </row>
    <row r="18" spans="1:12" x14ac:dyDescent="0.25">
      <c r="A18" s="7">
        <v>14</v>
      </c>
      <c r="B18" s="6" t="s">
        <v>94</v>
      </c>
      <c r="C18" s="6" t="s">
        <v>111</v>
      </c>
      <c r="D18" s="7">
        <v>1</v>
      </c>
      <c r="E18" s="4" t="s">
        <v>85</v>
      </c>
      <c r="F18" s="4" t="s">
        <v>95</v>
      </c>
      <c r="G18" s="4" t="s">
        <v>99</v>
      </c>
      <c r="H18" s="17">
        <v>0.23</v>
      </c>
      <c r="I18" s="17">
        <f>J18-H18</f>
        <v>0.35</v>
      </c>
      <c r="J18" s="17">
        <v>0.57999999999999996</v>
      </c>
      <c r="K18" s="22" t="s">
        <v>113</v>
      </c>
      <c r="L18" s="8" t="s">
        <v>112</v>
      </c>
    </row>
    <row r="19" spans="1:12" x14ac:dyDescent="0.25">
      <c r="A19" s="7">
        <v>15</v>
      </c>
      <c r="B19" s="6" t="s">
        <v>38</v>
      </c>
      <c r="C19" s="6" t="s">
        <v>114</v>
      </c>
      <c r="D19" s="7">
        <v>1</v>
      </c>
      <c r="E19" s="4" t="s">
        <v>85</v>
      </c>
      <c r="F19" s="4" t="s">
        <v>95</v>
      </c>
      <c r="G19" s="4" t="s">
        <v>99</v>
      </c>
      <c r="H19" s="17">
        <v>0.16500000000000001</v>
      </c>
      <c r="I19" s="17">
        <f>J19-H19</f>
        <v>0.23</v>
      </c>
      <c r="J19" s="17">
        <v>0.39500000000000002</v>
      </c>
      <c r="K19" s="1" t="s">
        <v>116</v>
      </c>
      <c r="L19" s="8" t="s">
        <v>115</v>
      </c>
    </row>
    <row r="20" spans="1:12" x14ac:dyDescent="0.25">
      <c r="A20" s="7">
        <v>16</v>
      </c>
      <c r="B20" s="6" t="s">
        <v>39</v>
      </c>
      <c r="C20" s="6" t="s">
        <v>40</v>
      </c>
      <c r="D20" s="7">
        <v>1</v>
      </c>
      <c r="E20" s="4" t="s">
        <v>85</v>
      </c>
      <c r="F20" s="4" t="s">
        <v>96</v>
      </c>
      <c r="G20" s="4" t="s">
        <v>90</v>
      </c>
      <c r="H20" s="17"/>
      <c r="I20" s="17"/>
      <c r="J20" s="17"/>
      <c r="K20" s="22"/>
      <c r="L20" s="4"/>
    </row>
    <row r="21" spans="1:12" x14ac:dyDescent="0.25">
      <c r="A21" s="27">
        <v>17</v>
      </c>
      <c r="B21" s="33" t="s">
        <v>41</v>
      </c>
      <c r="C21" s="33" t="s">
        <v>42</v>
      </c>
      <c r="D21" s="27">
        <v>1</v>
      </c>
      <c r="E21" s="31" t="s">
        <v>85</v>
      </c>
      <c r="F21" s="31" t="s">
        <v>93</v>
      </c>
      <c r="G21" s="31" t="s">
        <v>90</v>
      </c>
      <c r="H21" s="34"/>
      <c r="I21" s="34"/>
      <c r="J21" s="34"/>
      <c r="K21" s="35"/>
      <c r="L21" s="31"/>
    </row>
    <row r="22" spans="1:12" x14ac:dyDescent="0.25">
      <c r="A22" s="7">
        <v>18</v>
      </c>
      <c r="B22" s="6" t="s">
        <v>43</v>
      </c>
      <c r="C22" s="6" t="s">
        <v>44</v>
      </c>
      <c r="D22" s="7">
        <v>1</v>
      </c>
      <c r="E22" s="4" t="s">
        <v>85</v>
      </c>
      <c r="F22" s="4" t="s">
        <v>86</v>
      </c>
      <c r="G22" s="4" t="s">
        <v>89</v>
      </c>
      <c r="H22" s="17">
        <v>0.68500000000000005</v>
      </c>
      <c r="I22" s="17">
        <f>J22-H22</f>
        <v>0.61499999999999999</v>
      </c>
      <c r="J22" s="17">
        <v>1.3</v>
      </c>
      <c r="K22" s="22"/>
      <c r="L22" s="6" t="s">
        <v>117</v>
      </c>
    </row>
    <row r="23" spans="1:12" x14ac:dyDescent="0.25">
      <c r="A23" s="7">
        <v>19</v>
      </c>
      <c r="B23" s="6" t="s">
        <v>45</v>
      </c>
      <c r="C23" s="6" t="s">
        <v>46</v>
      </c>
      <c r="D23" s="7">
        <v>5</v>
      </c>
      <c r="E23" s="4" t="s">
        <v>85</v>
      </c>
      <c r="F23" s="4" t="s">
        <v>92</v>
      </c>
      <c r="G23" s="4" t="s">
        <v>90</v>
      </c>
      <c r="H23" s="17"/>
      <c r="I23" s="17"/>
      <c r="J23" s="17"/>
      <c r="K23" s="22"/>
      <c r="L23" s="4"/>
    </row>
    <row r="24" spans="1:12" x14ac:dyDescent="0.25">
      <c r="A24" s="27">
        <v>20</v>
      </c>
      <c r="B24" s="33" t="s">
        <v>47</v>
      </c>
      <c r="C24" s="33" t="s">
        <v>48</v>
      </c>
      <c r="D24" s="27">
        <v>2</v>
      </c>
      <c r="E24" s="31" t="s">
        <v>85</v>
      </c>
      <c r="F24" s="31" t="s">
        <v>92</v>
      </c>
      <c r="G24" s="31" t="s">
        <v>90</v>
      </c>
      <c r="H24" s="34"/>
      <c r="I24" s="34"/>
      <c r="J24" s="34"/>
      <c r="K24" s="35"/>
      <c r="L24" s="31"/>
    </row>
    <row r="25" spans="1:12" x14ac:dyDescent="0.25">
      <c r="A25" s="27">
        <v>21</v>
      </c>
      <c r="B25" s="33" t="s">
        <v>49</v>
      </c>
      <c r="C25" s="33" t="s">
        <v>50</v>
      </c>
      <c r="D25" s="27">
        <v>1</v>
      </c>
      <c r="E25" s="31" t="s">
        <v>85</v>
      </c>
      <c r="F25" s="31" t="s">
        <v>88</v>
      </c>
      <c r="G25" s="31" t="s">
        <v>90</v>
      </c>
      <c r="H25" s="34"/>
      <c r="I25" s="34"/>
      <c r="J25" s="34"/>
      <c r="K25" s="35"/>
      <c r="L25" s="31"/>
    </row>
    <row r="26" spans="1:12" x14ac:dyDescent="0.25">
      <c r="A26" s="7">
        <v>22</v>
      </c>
      <c r="B26" s="6" t="s">
        <v>51</v>
      </c>
      <c r="C26" s="6" t="s">
        <v>52</v>
      </c>
      <c r="D26" s="7">
        <v>1</v>
      </c>
      <c r="E26" s="4" t="s">
        <v>85</v>
      </c>
      <c r="F26" s="4" t="s">
        <v>87</v>
      </c>
      <c r="G26" s="4" t="s">
        <v>90</v>
      </c>
      <c r="H26" s="17"/>
      <c r="I26" s="17"/>
      <c r="J26" s="17"/>
      <c r="K26" s="22"/>
      <c r="L26" s="4"/>
    </row>
    <row r="27" spans="1:12" x14ac:dyDescent="0.25">
      <c r="A27" s="7">
        <v>23</v>
      </c>
      <c r="B27" s="6" t="s">
        <v>53</v>
      </c>
      <c r="C27" s="6" t="s">
        <v>54</v>
      </c>
      <c r="D27" s="7">
        <v>2</v>
      </c>
      <c r="E27" s="4" t="s">
        <v>85</v>
      </c>
      <c r="F27" s="4" t="s">
        <v>88</v>
      </c>
      <c r="G27" s="4" t="s">
        <v>90</v>
      </c>
      <c r="H27" s="17"/>
      <c r="I27" s="17"/>
      <c r="J27" s="17"/>
      <c r="K27" s="22"/>
      <c r="L27" s="4"/>
    </row>
    <row r="28" spans="1:12" x14ac:dyDescent="0.25">
      <c r="A28" s="27">
        <v>24</v>
      </c>
      <c r="B28" s="33" t="s">
        <v>55</v>
      </c>
      <c r="C28" s="33" t="s">
        <v>56</v>
      </c>
      <c r="D28" s="27">
        <v>1</v>
      </c>
      <c r="E28" s="31" t="s">
        <v>85</v>
      </c>
      <c r="F28" s="31" t="s">
        <v>93</v>
      </c>
      <c r="G28" s="31" t="s">
        <v>90</v>
      </c>
      <c r="H28" s="34"/>
      <c r="I28" s="34"/>
      <c r="J28" s="34"/>
      <c r="K28" s="35"/>
      <c r="L28" s="31"/>
    </row>
    <row r="29" spans="1:12" x14ac:dyDescent="0.25">
      <c r="A29" s="2">
        <v>25</v>
      </c>
      <c r="B29" s="3" t="s">
        <v>57</v>
      </c>
      <c r="C29" s="3" t="s">
        <v>58</v>
      </c>
      <c r="D29" s="2">
        <v>1</v>
      </c>
      <c r="E29" s="4" t="s">
        <v>85</v>
      </c>
      <c r="F29" s="4" t="s">
        <v>86</v>
      </c>
      <c r="G29" s="4" t="s">
        <v>89</v>
      </c>
      <c r="H29" s="17">
        <v>3.47</v>
      </c>
      <c r="I29" s="17">
        <f>J29-H29</f>
        <v>1.3299999999999996</v>
      </c>
      <c r="J29" s="17">
        <v>4.8</v>
      </c>
      <c r="K29" s="22"/>
      <c r="L29" s="3" t="s">
        <v>118</v>
      </c>
    </row>
    <row r="30" spans="1:12" x14ac:dyDescent="0.25">
      <c r="A30" s="32">
        <v>26</v>
      </c>
      <c r="B30" s="36" t="s">
        <v>59</v>
      </c>
      <c r="C30" s="36" t="s">
        <v>119</v>
      </c>
      <c r="D30" s="32">
        <v>1</v>
      </c>
      <c r="E30" s="31" t="s">
        <v>85</v>
      </c>
      <c r="F30" s="31" t="s">
        <v>95</v>
      </c>
      <c r="G30" s="31" t="s">
        <v>99</v>
      </c>
      <c r="H30" s="34"/>
      <c r="I30" s="34"/>
      <c r="J30" s="34"/>
      <c r="K30" s="35"/>
      <c r="L30" s="31"/>
    </row>
    <row r="31" spans="1:12" x14ac:dyDescent="0.25">
      <c r="A31" s="2">
        <v>27</v>
      </c>
      <c r="B31" s="6" t="s">
        <v>60</v>
      </c>
      <c r="C31" s="6" t="s">
        <v>61</v>
      </c>
      <c r="D31" s="2">
        <v>1</v>
      </c>
      <c r="E31" s="4" t="s">
        <v>85</v>
      </c>
      <c r="F31" s="4" t="s">
        <v>92</v>
      </c>
      <c r="G31" s="4" t="s">
        <v>90</v>
      </c>
      <c r="H31" s="17"/>
      <c r="I31" s="17"/>
      <c r="J31" s="17"/>
      <c r="K31" s="22"/>
      <c r="L31" s="4"/>
    </row>
    <row r="32" spans="1:12" x14ac:dyDescent="0.25">
      <c r="A32" s="2">
        <v>28</v>
      </c>
      <c r="B32" s="6" t="s">
        <v>62</v>
      </c>
      <c r="C32" s="6" t="s">
        <v>63</v>
      </c>
      <c r="D32" s="2">
        <v>1</v>
      </c>
      <c r="E32" s="4" t="s">
        <v>85</v>
      </c>
      <c r="F32" s="4" t="s">
        <v>95</v>
      </c>
      <c r="G32" s="4" t="s">
        <v>99</v>
      </c>
      <c r="H32" s="17">
        <v>0.23</v>
      </c>
      <c r="I32" s="17">
        <f>J32-H32</f>
        <v>0.35</v>
      </c>
      <c r="J32" s="17">
        <v>0.57999999999999996</v>
      </c>
      <c r="K32" s="22" t="s">
        <v>113</v>
      </c>
      <c r="L32" s="8" t="s">
        <v>112</v>
      </c>
    </row>
    <row r="33" spans="1:12" x14ac:dyDescent="0.25">
      <c r="A33" s="7">
        <v>29</v>
      </c>
      <c r="B33" s="6" t="s">
        <v>64</v>
      </c>
      <c r="C33" s="6" t="s">
        <v>65</v>
      </c>
      <c r="D33" s="7">
        <v>1</v>
      </c>
      <c r="E33" s="4" t="s">
        <v>85</v>
      </c>
      <c r="F33" s="4" t="s">
        <v>96</v>
      </c>
      <c r="G33" s="4" t="s">
        <v>90</v>
      </c>
      <c r="H33" s="17"/>
      <c r="I33" s="17"/>
      <c r="J33" s="17"/>
      <c r="K33" s="22"/>
      <c r="L33" s="4"/>
    </row>
    <row r="34" spans="1:12" x14ac:dyDescent="0.25">
      <c r="A34" s="27">
        <v>30</v>
      </c>
      <c r="B34" s="33" t="s">
        <v>66</v>
      </c>
      <c r="C34" s="33" t="s">
        <v>67</v>
      </c>
      <c r="D34" s="27">
        <v>2</v>
      </c>
      <c r="E34" s="31" t="s">
        <v>85</v>
      </c>
      <c r="F34" s="31" t="s">
        <v>92</v>
      </c>
      <c r="G34" s="31" t="s">
        <v>90</v>
      </c>
      <c r="H34" s="34"/>
      <c r="I34" s="34"/>
      <c r="J34" s="34"/>
      <c r="K34" s="35"/>
      <c r="L34" s="31"/>
    </row>
    <row r="35" spans="1:12" x14ac:dyDescent="0.25">
      <c r="A35" s="7">
        <v>31</v>
      </c>
      <c r="B35" s="6" t="s">
        <v>68</v>
      </c>
      <c r="C35" s="6" t="s">
        <v>69</v>
      </c>
      <c r="D35" s="7">
        <v>1</v>
      </c>
      <c r="E35" s="4" t="s">
        <v>85</v>
      </c>
      <c r="F35" s="4" t="s">
        <v>97</v>
      </c>
      <c r="G35" s="4" t="s">
        <v>90</v>
      </c>
      <c r="H35" s="17"/>
      <c r="I35" s="17"/>
      <c r="J35" s="17"/>
      <c r="K35" s="22"/>
      <c r="L35" s="4"/>
    </row>
    <row r="36" spans="1:12" x14ac:dyDescent="0.25">
      <c r="A36" s="7">
        <v>32</v>
      </c>
      <c r="B36" s="6" t="s">
        <v>70</v>
      </c>
      <c r="C36" s="6" t="s">
        <v>71</v>
      </c>
      <c r="D36" s="7">
        <v>1</v>
      </c>
      <c r="E36" s="4" t="s">
        <v>85</v>
      </c>
      <c r="F36" s="4" t="s">
        <v>92</v>
      </c>
      <c r="G36" s="4" t="s">
        <v>90</v>
      </c>
      <c r="H36" s="17"/>
      <c r="I36" s="17"/>
      <c r="J36" s="17"/>
      <c r="K36" s="22"/>
      <c r="L36" s="4"/>
    </row>
    <row r="37" spans="1:12" x14ac:dyDescent="0.25">
      <c r="A37" s="7">
        <v>33</v>
      </c>
      <c r="B37" s="6" t="s">
        <v>72</v>
      </c>
      <c r="C37" s="6" t="s">
        <v>73</v>
      </c>
      <c r="D37" s="7">
        <v>1</v>
      </c>
      <c r="E37" s="4" t="s">
        <v>85</v>
      </c>
      <c r="F37" s="4" t="s">
        <v>98</v>
      </c>
      <c r="G37" s="4" t="s">
        <v>99</v>
      </c>
      <c r="H37" s="17">
        <v>1.18</v>
      </c>
      <c r="I37" s="17">
        <f>J37-H37</f>
        <v>2.5000000000000133E-2</v>
      </c>
      <c r="J37" s="17">
        <v>1.2050000000000001</v>
      </c>
      <c r="K37" s="1" t="s">
        <v>121</v>
      </c>
      <c r="L37" s="8" t="s">
        <v>120</v>
      </c>
    </row>
    <row r="38" spans="1:12" x14ac:dyDescent="0.25">
      <c r="A38" s="7">
        <v>34</v>
      </c>
      <c r="B38" s="6" t="s">
        <v>74</v>
      </c>
      <c r="C38" s="6" t="s">
        <v>75</v>
      </c>
      <c r="D38" s="7">
        <v>1</v>
      </c>
      <c r="E38" s="4" t="s">
        <v>85</v>
      </c>
      <c r="F38" s="4" t="s">
        <v>92</v>
      </c>
      <c r="G38" s="4" t="s">
        <v>90</v>
      </c>
      <c r="H38" s="17"/>
      <c r="I38" s="17"/>
      <c r="J38" s="17"/>
      <c r="K38" s="22"/>
      <c r="L38" s="4"/>
    </row>
    <row r="39" spans="1:12" x14ac:dyDescent="0.25">
      <c r="A39" s="9">
        <v>35</v>
      </c>
      <c r="B39" s="10" t="s">
        <v>76</v>
      </c>
      <c r="C39" s="10" t="s">
        <v>100</v>
      </c>
      <c r="D39" s="9">
        <v>1</v>
      </c>
      <c r="E39" s="5" t="s">
        <v>85</v>
      </c>
      <c r="F39" s="5"/>
      <c r="G39" s="5" t="s">
        <v>99</v>
      </c>
      <c r="H39" s="19"/>
      <c r="I39" s="19"/>
      <c r="J39" s="19"/>
      <c r="K39" s="24"/>
      <c r="L39" s="5"/>
    </row>
    <row r="40" spans="1:12" x14ac:dyDescent="0.25">
      <c r="A40" s="7">
        <v>35.1</v>
      </c>
      <c r="B40" s="11" t="s">
        <v>125</v>
      </c>
      <c r="C40" s="11" t="s">
        <v>126</v>
      </c>
      <c r="D40" s="11">
        <v>1</v>
      </c>
      <c r="E40" s="11" t="s">
        <v>124</v>
      </c>
      <c r="F40" s="11" t="s">
        <v>104</v>
      </c>
      <c r="G40" s="11" t="s">
        <v>99</v>
      </c>
      <c r="H40" s="20">
        <v>3.47</v>
      </c>
      <c r="I40" s="20">
        <f>H40*0.12</f>
        <v>0.41639999999999999</v>
      </c>
      <c r="J40" s="20">
        <f>H40+I40</f>
        <v>3.8864000000000001</v>
      </c>
      <c r="K40" s="25" t="s">
        <v>127</v>
      </c>
      <c r="L40" s="4" t="s">
        <v>134</v>
      </c>
    </row>
    <row r="41" spans="1:12" x14ac:dyDescent="0.25">
      <c r="A41" s="27">
        <v>35.200000000000003</v>
      </c>
      <c r="B41" s="28" t="s">
        <v>128</v>
      </c>
      <c r="C41" s="28" t="s">
        <v>133</v>
      </c>
      <c r="D41" s="28">
        <v>2</v>
      </c>
      <c r="E41" s="28" t="s">
        <v>124</v>
      </c>
      <c r="F41" s="28" t="s">
        <v>104</v>
      </c>
      <c r="G41" s="28" t="s">
        <v>99</v>
      </c>
      <c r="H41" s="29">
        <v>3.0760000000000001</v>
      </c>
      <c r="I41" s="29">
        <f>3.09-H41</f>
        <v>1.399999999999979E-2</v>
      </c>
      <c r="J41" s="29">
        <f>H41+I41</f>
        <v>3.09</v>
      </c>
      <c r="K41" s="30" t="s">
        <v>135</v>
      </c>
      <c r="L41" s="31"/>
    </row>
    <row r="42" spans="1:12" x14ac:dyDescent="0.25">
      <c r="A42" s="7">
        <v>35.299999999999997</v>
      </c>
      <c r="B42" s="11" t="s">
        <v>129</v>
      </c>
      <c r="C42" s="11" t="s">
        <v>132</v>
      </c>
      <c r="D42" s="11">
        <v>1</v>
      </c>
      <c r="E42" s="11" t="s">
        <v>124</v>
      </c>
      <c r="F42" s="11" t="s">
        <v>104</v>
      </c>
      <c r="G42" s="11" t="s">
        <v>99</v>
      </c>
      <c r="H42" s="20">
        <v>3.12</v>
      </c>
      <c r="I42" s="20"/>
      <c r="J42" s="20">
        <f>H42+I42</f>
        <v>3.12</v>
      </c>
      <c r="K42" s="25" t="s">
        <v>137</v>
      </c>
      <c r="L42" s="4" t="s">
        <v>136</v>
      </c>
    </row>
    <row r="43" spans="1:12" x14ac:dyDescent="0.25">
      <c r="A43" s="7">
        <v>35.4</v>
      </c>
      <c r="B43" s="11" t="s">
        <v>130</v>
      </c>
      <c r="C43" s="11" t="s">
        <v>131</v>
      </c>
      <c r="D43" s="11">
        <v>1</v>
      </c>
      <c r="E43" s="11" t="s">
        <v>124</v>
      </c>
      <c r="F43" s="11" t="s">
        <v>104</v>
      </c>
      <c r="G43" s="11" t="s">
        <v>99</v>
      </c>
      <c r="H43" s="20">
        <v>0.59</v>
      </c>
      <c r="I43" s="20">
        <f>0.77-H43</f>
        <v>0.18000000000000005</v>
      </c>
      <c r="J43" s="20">
        <f>H43+I43</f>
        <v>0.77</v>
      </c>
      <c r="K43" s="25" t="s">
        <v>138</v>
      </c>
      <c r="L43" s="4" t="s">
        <v>139</v>
      </c>
    </row>
    <row r="44" spans="1:12" x14ac:dyDescent="0.25">
      <c r="A44" s="27">
        <v>36</v>
      </c>
      <c r="B44" s="33" t="s">
        <v>77</v>
      </c>
      <c r="C44" s="33" t="s">
        <v>78</v>
      </c>
      <c r="D44" s="27">
        <v>4</v>
      </c>
      <c r="E44" s="31" t="s">
        <v>85</v>
      </c>
      <c r="F44" s="31" t="s">
        <v>92</v>
      </c>
      <c r="G44" s="31" t="s">
        <v>90</v>
      </c>
      <c r="H44" s="34"/>
      <c r="I44" s="34"/>
      <c r="J44" s="34"/>
      <c r="K44" s="35"/>
      <c r="L44" s="31"/>
    </row>
    <row r="45" spans="1:12" x14ac:dyDescent="0.25">
      <c r="A45" s="7">
        <v>37</v>
      </c>
      <c r="B45" s="6" t="s">
        <v>79</v>
      </c>
      <c r="C45" s="6" t="s">
        <v>80</v>
      </c>
      <c r="D45" s="7">
        <v>16</v>
      </c>
      <c r="E45" s="4" t="s">
        <v>85</v>
      </c>
      <c r="F45" s="4" t="s">
        <v>92</v>
      </c>
      <c r="G45" s="4" t="s">
        <v>90</v>
      </c>
      <c r="H45" s="17"/>
      <c r="I45" s="17"/>
      <c r="J45" s="17"/>
      <c r="K45" s="22"/>
      <c r="L45" s="4"/>
    </row>
    <row r="46" spans="1:12" x14ac:dyDescent="0.25">
      <c r="A46" s="7">
        <v>38</v>
      </c>
      <c r="B46" s="6" t="s">
        <v>81</v>
      </c>
      <c r="C46" s="6" t="s">
        <v>82</v>
      </c>
      <c r="D46" s="7">
        <v>4</v>
      </c>
      <c r="E46" s="4" t="s">
        <v>85</v>
      </c>
      <c r="F46" s="4" t="s">
        <v>92</v>
      </c>
      <c r="G46" s="4" t="s">
        <v>90</v>
      </c>
      <c r="H46" s="17"/>
      <c r="I46" s="17"/>
      <c r="J46" s="17"/>
      <c r="K46" s="22"/>
      <c r="L46" s="4"/>
    </row>
    <row r="47" spans="1:12" x14ac:dyDescent="0.25">
      <c r="A47" s="27">
        <v>39</v>
      </c>
      <c r="B47" s="33" t="s">
        <v>83</v>
      </c>
      <c r="C47" s="33" t="s">
        <v>84</v>
      </c>
      <c r="D47" s="27">
        <v>4</v>
      </c>
      <c r="E47" s="31" t="s">
        <v>85</v>
      </c>
      <c r="F47" s="31" t="s">
        <v>92</v>
      </c>
      <c r="G47" s="31" t="s">
        <v>90</v>
      </c>
      <c r="H47" s="34"/>
      <c r="I47" s="34"/>
      <c r="J47" s="34"/>
      <c r="K47" s="35"/>
      <c r="L47" s="31"/>
    </row>
    <row r="48" spans="1:12" x14ac:dyDescent="0.25">
      <c r="A48" s="7">
        <v>40</v>
      </c>
      <c r="B48" s="6" t="s">
        <v>122</v>
      </c>
      <c r="C48" s="6" t="s">
        <v>123</v>
      </c>
      <c r="D48" s="7">
        <v>1</v>
      </c>
      <c r="E48" s="4" t="s">
        <v>85</v>
      </c>
      <c r="F48" s="4" t="s">
        <v>87</v>
      </c>
      <c r="G48" s="4" t="s">
        <v>90</v>
      </c>
      <c r="H48" s="17"/>
      <c r="I48" s="17"/>
      <c r="J48" s="17"/>
      <c r="K48" s="22"/>
      <c r="L48" s="4"/>
    </row>
  </sheetData>
  <conditionalFormatting sqref="K18">
    <cfRule type="duplicateValues" dxfId="3" priority="4"/>
  </conditionalFormatting>
  <conditionalFormatting sqref="K19">
    <cfRule type="duplicateValues" dxfId="2" priority="3"/>
  </conditionalFormatting>
  <conditionalFormatting sqref="K32">
    <cfRule type="duplicateValues" dxfId="1" priority="2"/>
  </conditionalFormatting>
  <conditionalFormatting sqref="K3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RND</dc:creator>
  <cp:lastModifiedBy>Agro</cp:lastModifiedBy>
  <dcterms:created xsi:type="dcterms:W3CDTF">2025-09-26T04:25:09Z</dcterms:created>
  <dcterms:modified xsi:type="dcterms:W3CDTF">2025-10-18T08:56:24Z</dcterms:modified>
</cp:coreProperties>
</file>