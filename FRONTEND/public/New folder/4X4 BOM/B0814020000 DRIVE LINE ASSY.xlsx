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755" activeTab="1"/>
  </bookViews>
  <sheets>
    <sheet name="Sheet1" sheetId="1" r:id="rId1"/>
    <sheet name="Sheet2" sheetId="2" r:id="rId2"/>
  </sheets>
  <definedNames>
    <definedName name="_xlnm._FilterDatabase" localSheetId="1" hidden="1">Sheet2!$A$1:$N$41</definedName>
  </definedNames>
  <calcPr calcId="152511"/>
</workbook>
</file>

<file path=xl/calcChain.xml><?xml version="1.0" encoding="utf-8"?>
<calcChain xmlns="http://schemas.openxmlformats.org/spreadsheetml/2006/main">
  <c r="L26" i="2" l="1"/>
  <c r="L25" i="2"/>
  <c r="L12" i="2"/>
  <c r="L10" i="2"/>
  <c r="L9" i="2"/>
  <c r="L5" i="2"/>
  <c r="K5" i="2"/>
  <c r="K9" i="2"/>
  <c r="K10" i="2"/>
  <c r="K12" i="2"/>
  <c r="K25" i="2"/>
  <c r="K26" i="2"/>
  <c r="L4" i="2"/>
  <c r="K4" i="2" l="1"/>
</calcChain>
</file>

<file path=xl/sharedStrings.xml><?xml version="1.0" encoding="utf-8"?>
<sst xmlns="http://schemas.openxmlformats.org/spreadsheetml/2006/main" count="262" uniqueCount="132">
  <si>
    <t>S.NO.</t>
  </si>
  <si>
    <t>DISCRIPTION</t>
  </si>
  <si>
    <t>GEAR MOUNTING BRACKET</t>
  </si>
  <si>
    <t>TYPE</t>
  </si>
  <si>
    <t>SQUARE PIPE</t>
  </si>
  <si>
    <t>ASSY.</t>
  </si>
  <si>
    <t>50X50 SQUARE PIPE</t>
  </si>
  <si>
    <t>QTY.</t>
  </si>
  <si>
    <t>PTO SHAFT -1</t>
  </si>
  <si>
    <t>PTO SHAFT-2</t>
  </si>
  <si>
    <t>ANGLE FRONT</t>
  </si>
  <si>
    <t xml:space="preserve">ANGLE REAR </t>
  </si>
  <si>
    <t>COVER STRIP</t>
  </si>
  <si>
    <t>COVER SHAFT</t>
  </si>
  <si>
    <t>DRIVE SHAFT</t>
  </si>
  <si>
    <t>FASTNERS</t>
  </si>
  <si>
    <t>HOUSING</t>
  </si>
  <si>
    <t>BEARING</t>
  </si>
  <si>
    <t>COVER</t>
  </si>
  <si>
    <t xml:space="preserve">FASTNERS </t>
  </si>
  <si>
    <t>GEAR MTG.</t>
  </si>
  <si>
    <t>SR.NO.</t>
  </si>
  <si>
    <t>ITEM_CODE</t>
  </si>
  <si>
    <t>ITEM_NAME</t>
  </si>
  <si>
    <t>ITEM_DESC</t>
  </si>
  <si>
    <t>UNIT</t>
  </si>
  <si>
    <t>QTY</t>
  </si>
  <si>
    <t>GRP_CODE</t>
  </si>
  <si>
    <t>GRP_NAME</t>
  </si>
  <si>
    <t>SOURCE</t>
  </si>
  <si>
    <t>WT</t>
  </si>
  <si>
    <t>SCRAP WT</t>
  </si>
  <si>
    <t>RM</t>
  </si>
  <si>
    <t>RM CODE</t>
  </si>
  <si>
    <t>NO.</t>
  </si>
  <si>
    <t>FABRICATION</t>
  </si>
  <si>
    <t>INHOUSE</t>
  </si>
  <si>
    <t>H.R. SHEET 1500 x 3150 x 8</t>
  </si>
  <si>
    <t>BOP</t>
  </si>
  <si>
    <t>H.R. SHEET 1250 x 2850 x 2</t>
  </si>
  <si>
    <t>GEAR AND SPROCKET</t>
  </si>
  <si>
    <t>DRIVE SHAFT  WELDED FRONT 4X4</t>
  </si>
  <si>
    <t xml:space="preserve">SHAFT SMALL 10 SPLINE </t>
  </si>
  <si>
    <t>DRIVE SHAFT  WELDED REAR 4X4</t>
  </si>
  <si>
    <t>SHAFT 10 SPLINE 10''</t>
  </si>
  <si>
    <t>BEARING AND SPROCKET</t>
  </si>
  <si>
    <t>HEX. BOLT M16X 100</t>
  </si>
  <si>
    <t>HEX. BOLT M16X60</t>
  </si>
  <si>
    <t>WASHER M16</t>
  </si>
  <si>
    <t xml:space="preserve">NO. </t>
  </si>
  <si>
    <t>NYLOCK NUT M16</t>
  </si>
  <si>
    <t>NYLOCK NUT M10</t>
  </si>
  <si>
    <t>SPRING WASHER M10</t>
  </si>
  <si>
    <t>PLAIN WASHER M8</t>
  </si>
  <si>
    <t>SPRING WASHER M8</t>
  </si>
  <si>
    <t>NYLOCK NUT M8</t>
  </si>
  <si>
    <t>HEX FLANGE SCREW M8X20</t>
  </si>
  <si>
    <t>HEX FLANGE  SCREW M8X25</t>
  </si>
  <si>
    <t>M36033</t>
  </si>
  <si>
    <t>M36034</t>
  </si>
  <si>
    <t>M05006</t>
  </si>
  <si>
    <t>M04007</t>
  </si>
  <si>
    <t>M28005</t>
  </si>
  <si>
    <t>M55184</t>
  </si>
  <si>
    <t>M55068</t>
  </si>
  <si>
    <t>M05009</t>
  </si>
  <si>
    <t>M28009</t>
  </si>
  <si>
    <t>HOUSING BEARING UCP 209</t>
  </si>
  <si>
    <t>M35005</t>
  </si>
  <si>
    <t>M05007</t>
  </si>
  <si>
    <t>M28002</t>
  </si>
  <si>
    <t>M04008</t>
  </si>
  <si>
    <t>HEX HEAD BOLT M10X35</t>
  </si>
  <si>
    <t>HEX HEAD BOLT M10X75</t>
  </si>
  <si>
    <t>M03050</t>
  </si>
  <si>
    <t>M03169</t>
  </si>
  <si>
    <t>H.R. SHEET 1500 x 3800 x 6</t>
  </si>
  <si>
    <t>H.R. SHEET 1500 x 3150 x 10</t>
  </si>
  <si>
    <t>MISC</t>
  </si>
  <si>
    <t>B0814021200</t>
  </si>
  <si>
    <t>B0814021201</t>
  </si>
  <si>
    <t>B0814021202</t>
  </si>
  <si>
    <t>MTG. BKT. FOR BRG. MTG. SUPPORT</t>
  </si>
  <si>
    <t>B0814020400</t>
  </si>
  <si>
    <t>B0814020900</t>
  </si>
  <si>
    <t>B0814021000</t>
  </si>
  <si>
    <t>B0814020405</t>
  </si>
  <si>
    <t>B0814021400</t>
  </si>
  <si>
    <t>B0814020503</t>
  </si>
  <si>
    <t>B0814021401</t>
  </si>
  <si>
    <t>B0814020500</t>
  </si>
  <si>
    <t>B0814020506</t>
  </si>
  <si>
    <t>DRIVE SHAFT PIPE 3'' REAR 4X4  (OD 60.3 X 4.5 THK)</t>
  </si>
  <si>
    <t>B0814020504</t>
  </si>
  <si>
    <t>B0814021700</t>
  </si>
  <si>
    <t>B0814020700</t>
  </si>
  <si>
    <t xml:space="preserve"> </t>
  </si>
  <si>
    <t>B0814020702</t>
  </si>
  <si>
    <t>BREARING RESTING PLATE</t>
  </si>
  <si>
    <t>B0814021203</t>
  </si>
  <si>
    <t>RIB FOR RESTING PLATE</t>
  </si>
  <si>
    <t>B0814021204</t>
  </si>
  <si>
    <t>BEARING MTG SUPPORT FRONT 4X4</t>
  </si>
  <si>
    <t>PRMSP0005</t>
  </si>
  <si>
    <t>SHS 50x50x4.5mm, LENGTH 6 MTR</t>
  </si>
  <si>
    <t>SQUARE PIPE 50x50x4.5MMx25''</t>
  </si>
  <si>
    <t>PRMSH021</t>
  </si>
  <si>
    <t>PRMSH022</t>
  </si>
  <si>
    <t>BEARING RESTING PLATE</t>
  </si>
  <si>
    <t>RIB FOR BEARING RESTING PLATE</t>
  </si>
  <si>
    <t>PRMFL010</t>
  </si>
  <si>
    <t>M.S. Flat 40x6</t>
  </si>
  <si>
    <t>PRMSH020</t>
  </si>
  <si>
    <t>PRMCP014</t>
  </si>
  <si>
    <t>M.S. Tube 50 NB 'C' LENGTH 6 MTR</t>
  </si>
  <si>
    <t>PRMSH011</t>
  </si>
  <si>
    <t>MS FLAT 25X6</t>
  </si>
  <si>
    <t>PRMFL014</t>
  </si>
  <si>
    <t>PLAIN WASHER M10</t>
  </si>
  <si>
    <t>B0814021800</t>
  </si>
  <si>
    <t>BEARING MTG SUPPORT REAR 4X4</t>
  </si>
  <si>
    <t>B0814021801</t>
  </si>
  <si>
    <t>MOUNTING STRIP FOR DRIVE LINE COVER 4x4</t>
  </si>
  <si>
    <t>YOKE ASSY 6 SPLINE LOCK TYPE</t>
  </si>
  <si>
    <t>YOKE ASSY 10 SPLINE LOCK TYPE</t>
  </si>
  <si>
    <t xml:space="preserve"> DRIVE SHAFT MIDDLE WELDED 4X4</t>
  </si>
  <si>
    <t xml:space="preserve">DRIVE SHAFT PIPE 42''   MIDDLE 4X4 </t>
  </si>
  <si>
    <t xml:space="preserve">DRIVE SHAFT PIPE 8'' </t>
  </si>
  <si>
    <t>YOKE ASSY 10X6 SPLINE</t>
  </si>
  <si>
    <t xml:space="preserve">COVER - DRIVE SHAFT 4x4 </t>
  </si>
  <si>
    <t xml:space="preserve">MTG STRIP - DRIVE SHAFT REAR </t>
  </si>
  <si>
    <t>Total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</si>
</sst>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trike/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trike/>
      <sz val="10"/>
      <color theme="1"/>
      <name val="Times New Roman"/>
      <family val="1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7" workbookViewId="0">
      <selection activeCell="B13" sqref="B13"/>
    </sheetView>
  </sheetViews>
  <sheetFormatPr defaultColWidth="18.42578125" defaultRowHeight="21" customHeight="1" x14ac:dyDescent="0.25"/>
  <cols>
    <col min="1" max="1" width="8.140625" style="1" bestFit="1" customWidth="1"/>
    <col min="2" max="2" width="37.7109375" style="1" bestFit="1" customWidth="1"/>
    <col min="3" max="3" width="20.140625" style="1" bestFit="1" customWidth="1"/>
    <col min="4" max="4" width="7.5703125" style="1" bestFit="1" customWidth="1"/>
    <col min="5" max="16384" width="18.42578125" style="1"/>
  </cols>
  <sheetData>
    <row r="1" spans="1:4" ht="21" customHeight="1" x14ac:dyDescent="0.25">
      <c r="A1" s="3" t="s">
        <v>0</v>
      </c>
      <c r="B1" s="3" t="s">
        <v>1</v>
      </c>
      <c r="C1" s="3" t="s">
        <v>3</v>
      </c>
      <c r="D1" s="3" t="s">
        <v>7</v>
      </c>
    </row>
    <row r="2" spans="1:4" ht="21" customHeight="1" x14ac:dyDescent="0.25">
      <c r="A2" s="2">
        <v>1</v>
      </c>
      <c r="B2" s="2" t="s">
        <v>2</v>
      </c>
      <c r="C2" s="2" t="s">
        <v>5</v>
      </c>
      <c r="D2" s="2">
        <v>1</v>
      </c>
    </row>
    <row r="3" spans="1:4" ht="21" customHeight="1" x14ac:dyDescent="0.25">
      <c r="A3" s="2">
        <v>2</v>
      </c>
      <c r="B3" s="2" t="s">
        <v>6</v>
      </c>
      <c r="C3" s="2" t="s">
        <v>5</v>
      </c>
      <c r="D3" s="2">
        <v>1</v>
      </c>
    </row>
    <row r="4" spans="1:4" ht="21" customHeight="1" x14ac:dyDescent="0.25">
      <c r="A4" s="2">
        <v>3</v>
      </c>
      <c r="B4" s="2" t="s">
        <v>8</v>
      </c>
      <c r="C4" s="2"/>
      <c r="D4" s="2">
        <v>1</v>
      </c>
    </row>
    <row r="5" spans="1:4" ht="21" customHeight="1" x14ac:dyDescent="0.25">
      <c r="A5" s="2">
        <v>4</v>
      </c>
      <c r="B5" s="2" t="s">
        <v>9</v>
      </c>
      <c r="C5" s="2"/>
      <c r="D5" s="2">
        <v>1</v>
      </c>
    </row>
    <row r="6" spans="1:4" ht="21" customHeight="1" x14ac:dyDescent="0.25">
      <c r="A6" s="2">
        <v>5</v>
      </c>
      <c r="B6" s="2" t="s">
        <v>14</v>
      </c>
      <c r="C6" s="2"/>
      <c r="D6" s="2">
        <v>1</v>
      </c>
    </row>
    <row r="7" spans="1:4" ht="21" customHeight="1" x14ac:dyDescent="0.25">
      <c r="A7" s="2">
        <v>6</v>
      </c>
      <c r="B7" s="2" t="s">
        <v>10</v>
      </c>
      <c r="C7" s="2"/>
      <c r="D7" s="2">
        <v>1</v>
      </c>
    </row>
    <row r="8" spans="1:4" ht="21" customHeight="1" x14ac:dyDescent="0.25">
      <c r="A8" s="2">
        <v>7</v>
      </c>
      <c r="B8" s="2" t="s">
        <v>11</v>
      </c>
      <c r="C8" s="2"/>
      <c r="D8" s="2">
        <v>1</v>
      </c>
    </row>
    <row r="9" spans="1:4" ht="21" customHeight="1" x14ac:dyDescent="0.25">
      <c r="A9" s="2">
        <v>8</v>
      </c>
      <c r="B9" s="2" t="s">
        <v>13</v>
      </c>
      <c r="C9" s="2"/>
      <c r="D9" s="2">
        <v>1</v>
      </c>
    </row>
    <row r="10" spans="1:4" ht="21" customHeight="1" x14ac:dyDescent="0.25">
      <c r="A10" s="2">
        <v>9</v>
      </c>
      <c r="B10" s="2" t="s">
        <v>12</v>
      </c>
      <c r="C10" s="2"/>
      <c r="D10" s="2">
        <v>4</v>
      </c>
    </row>
    <row r="11" spans="1:4" ht="21" customHeight="1" x14ac:dyDescent="0.25">
      <c r="A11" s="2">
        <v>10</v>
      </c>
      <c r="B11" s="2" t="s">
        <v>16</v>
      </c>
      <c r="C11" s="2"/>
      <c r="D11" s="2">
        <v>2</v>
      </c>
    </row>
    <row r="12" spans="1:4" ht="21" customHeight="1" x14ac:dyDescent="0.25">
      <c r="A12" s="2">
        <v>12</v>
      </c>
      <c r="B12" s="2" t="s">
        <v>17</v>
      </c>
      <c r="C12" s="2"/>
      <c r="D12" s="2">
        <v>2</v>
      </c>
    </row>
    <row r="13" spans="1:4" ht="21" customHeight="1" x14ac:dyDescent="0.25">
      <c r="A13" s="2">
        <v>13</v>
      </c>
      <c r="B13" s="2" t="s">
        <v>15</v>
      </c>
      <c r="C13" s="2" t="s">
        <v>18</v>
      </c>
      <c r="D13" s="2"/>
    </row>
    <row r="14" spans="1:4" ht="21" customHeight="1" x14ac:dyDescent="0.25">
      <c r="A14" s="2">
        <v>14</v>
      </c>
      <c r="B14" s="2" t="s">
        <v>15</v>
      </c>
      <c r="C14" s="2" t="s">
        <v>4</v>
      </c>
      <c r="D14" s="2"/>
    </row>
    <row r="15" spans="1:4" ht="21" customHeight="1" x14ac:dyDescent="0.25">
      <c r="A15" s="2">
        <v>15</v>
      </c>
      <c r="B15" s="2" t="s">
        <v>19</v>
      </c>
      <c r="C15" s="2" t="s">
        <v>16</v>
      </c>
      <c r="D15" s="2"/>
    </row>
    <row r="16" spans="1:4" ht="21" customHeight="1" x14ac:dyDescent="0.25">
      <c r="A16" s="2">
        <v>16</v>
      </c>
      <c r="B16" s="2" t="s">
        <v>15</v>
      </c>
      <c r="C16" s="2" t="s">
        <v>10</v>
      </c>
      <c r="D16" s="2"/>
    </row>
    <row r="17" spans="1:4" ht="21" customHeight="1" x14ac:dyDescent="0.25">
      <c r="A17" s="2">
        <v>17</v>
      </c>
      <c r="B17" s="2" t="s">
        <v>15</v>
      </c>
      <c r="C17" s="2" t="s">
        <v>11</v>
      </c>
      <c r="D17" s="2"/>
    </row>
    <row r="18" spans="1:4" ht="21" customHeight="1" x14ac:dyDescent="0.25">
      <c r="A18" s="2">
        <v>18</v>
      </c>
      <c r="B18" s="2" t="s">
        <v>15</v>
      </c>
      <c r="C18" s="2" t="s">
        <v>20</v>
      </c>
      <c r="D18" s="2"/>
    </row>
  </sheetData>
  <pageMargins left="0.98425196850393704" right="0.98425196850393704" top="1.9685039370078741" bottom="0.98425196850393704" header="0.51181102362204722" footer="0.51181102362204722"/>
  <pageSetup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zoomScale="85" zoomScaleNormal="85" workbookViewId="0">
      <selection activeCell="B13" sqref="B13"/>
    </sheetView>
  </sheetViews>
  <sheetFormatPr defaultColWidth="19" defaultRowHeight="27.75" customHeight="1" x14ac:dyDescent="0.25"/>
  <cols>
    <col min="1" max="1" width="7.7109375" style="6" bestFit="1" customWidth="1"/>
    <col min="2" max="2" width="12.42578125" style="6" bestFit="1" customWidth="1"/>
    <col min="3" max="3" width="49.28515625" style="6" bestFit="1" customWidth="1"/>
    <col min="4" max="4" width="10.28515625" style="6" bestFit="1" customWidth="1"/>
    <col min="5" max="5" width="4.85546875" style="6" bestFit="1" customWidth="1"/>
    <col min="6" max="6" width="4.28515625" style="6" bestFit="1" customWidth="1"/>
    <col min="7" max="7" width="10" style="6" customWidth="1"/>
    <col min="8" max="8" width="24.28515625" style="6" customWidth="1"/>
    <col min="9" max="9" width="9.28515625" style="6" bestFit="1" customWidth="1"/>
    <col min="10" max="10" width="6.7109375" style="8" bestFit="1" customWidth="1"/>
    <col min="11" max="11" width="9.5703125" style="8" bestFit="1" customWidth="1"/>
    <col min="12" max="12" width="7.5703125" style="8" bestFit="1" customWidth="1"/>
    <col min="13" max="13" width="28.140625" style="6" customWidth="1"/>
    <col min="14" max="14" width="10.5703125" style="6" bestFit="1" customWidth="1"/>
    <col min="15" max="16384" width="19" style="6"/>
  </cols>
  <sheetData>
    <row r="1" spans="1:14" customFormat="1" ht="15" x14ac:dyDescent="0.25">
      <c r="A1" s="24" t="s">
        <v>21</v>
      </c>
      <c r="B1" s="25" t="s">
        <v>22</v>
      </c>
      <c r="C1" s="25" t="s">
        <v>23</v>
      </c>
      <c r="D1" s="24" t="s">
        <v>24</v>
      </c>
      <c r="E1" s="26" t="s">
        <v>25</v>
      </c>
      <c r="F1" s="26" t="s">
        <v>26</v>
      </c>
      <c r="G1" s="26" t="s">
        <v>27</v>
      </c>
      <c r="H1" s="27" t="s">
        <v>28</v>
      </c>
      <c r="I1" s="27" t="s">
        <v>29</v>
      </c>
      <c r="J1" s="27" t="s">
        <v>30</v>
      </c>
      <c r="K1" s="28" t="s">
        <v>31</v>
      </c>
      <c r="L1" s="25" t="s">
        <v>131</v>
      </c>
      <c r="M1" s="29" t="s">
        <v>32</v>
      </c>
      <c r="N1" s="29" t="s">
        <v>33</v>
      </c>
    </row>
    <row r="2" spans="1:14" ht="18.75" x14ac:dyDescent="0.25">
      <c r="A2" s="17">
        <v>1</v>
      </c>
      <c r="B2" s="17" t="s">
        <v>79</v>
      </c>
      <c r="C2" s="17" t="s">
        <v>102</v>
      </c>
      <c r="D2" s="17"/>
      <c r="E2" s="17" t="s">
        <v>34</v>
      </c>
      <c r="F2" s="17">
        <v>1</v>
      </c>
      <c r="G2" s="17"/>
      <c r="H2" s="17"/>
      <c r="I2" s="17"/>
      <c r="J2" s="18"/>
      <c r="K2" s="18"/>
      <c r="L2" s="18"/>
      <c r="M2" s="9"/>
      <c r="N2" s="10"/>
    </row>
    <row r="3" spans="1:14" ht="18.75" x14ac:dyDescent="0.25">
      <c r="A3" s="14">
        <v>1.1000000000000001</v>
      </c>
      <c r="B3" s="14" t="s">
        <v>80</v>
      </c>
      <c r="C3" s="14" t="s">
        <v>105</v>
      </c>
      <c r="D3" s="14"/>
      <c r="E3" s="14" t="s">
        <v>34</v>
      </c>
      <c r="F3" s="14">
        <v>1</v>
      </c>
      <c r="G3" s="14"/>
      <c r="H3" s="14" t="s">
        <v>35</v>
      </c>
      <c r="I3" s="14" t="s">
        <v>36</v>
      </c>
      <c r="J3" s="15">
        <v>9.32</v>
      </c>
      <c r="K3" s="15"/>
      <c r="L3" s="15"/>
      <c r="M3" s="11" t="s">
        <v>104</v>
      </c>
      <c r="N3" s="11" t="s">
        <v>103</v>
      </c>
    </row>
    <row r="4" spans="1:14" ht="18.75" x14ac:dyDescent="0.25">
      <c r="A4" s="14">
        <v>1.2</v>
      </c>
      <c r="B4" s="14" t="s">
        <v>81</v>
      </c>
      <c r="C4" s="14" t="s">
        <v>82</v>
      </c>
      <c r="D4" s="14"/>
      <c r="E4" s="14" t="s">
        <v>34</v>
      </c>
      <c r="F4" s="16">
        <v>1</v>
      </c>
      <c r="G4" s="14"/>
      <c r="H4" s="14" t="s">
        <v>35</v>
      </c>
      <c r="I4" s="14" t="s">
        <v>36</v>
      </c>
      <c r="J4" s="15">
        <v>0.45</v>
      </c>
      <c r="K4" s="15">
        <f>J4*0.12</f>
        <v>5.3999999999999999E-2</v>
      </c>
      <c r="L4" s="15">
        <f>SUM(J4:K4)</f>
        <v>0.504</v>
      </c>
      <c r="M4" s="14" t="s">
        <v>37</v>
      </c>
      <c r="N4" s="14" t="s">
        <v>106</v>
      </c>
    </row>
    <row r="5" spans="1:14" ht="18.75" x14ac:dyDescent="0.25">
      <c r="A5" s="14">
        <v>1.3</v>
      </c>
      <c r="B5" s="14" t="s">
        <v>99</v>
      </c>
      <c r="C5" s="14" t="s">
        <v>108</v>
      </c>
      <c r="D5" s="14"/>
      <c r="E5" s="14" t="s">
        <v>34</v>
      </c>
      <c r="F5" s="14">
        <v>1</v>
      </c>
      <c r="G5" s="14"/>
      <c r="H5" s="14" t="s">
        <v>35</v>
      </c>
      <c r="I5" s="14" t="s">
        <v>36</v>
      </c>
      <c r="J5" s="15">
        <v>0.36</v>
      </c>
      <c r="K5" s="15">
        <f>J5*0.12</f>
        <v>4.3199999999999995E-2</v>
      </c>
      <c r="L5" s="15">
        <f>SUM(J5:K5)</f>
        <v>0.4032</v>
      </c>
      <c r="M5" s="14" t="s">
        <v>77</v>
      </c>
      <c r="N5" s="14" t="s">
        <v>107</v>
      </c>
    </row>
    <row r="6" spans="1:14" ht="18.75" x14ac:dyDescent="0.25">
      <c r="A6" s="14">
        <v>1.4</v>
      </c>
      <c r="B6" s="14" t="s">
        <v>101</v>
      </c>
      <c r="C6" s="14" t="s">
        <v>109</v>
      </c>
      <c r="D6" s="14"/>
      <c r="E6" s="14" t="s">
        <v>34</v>
      </c>
      <c r="F6" s="14">
        <v>1</v>
      </c>
      <c r="G6" s="14"/>
      <c r="H6" s="14" t="s">
        <v>35</v>
      </c>
      <c r="I6" s="14" t="s">
        <v>36</v>
      </c>
      <c r="J6" s="15">
        <v>0.03</v>
      </c>
      <c r="K6" s="15"/>
      <c r="L6" s="15"/>
      <c r="M6" s="11" t="s">
        <v>111</v>
      </c>
      <c r="N6" s="11" t="s">
        <v>110</v>
      </c>
    </row>
    <row r="7" spans="1:14" ht="18.75" x14ac:dyDescent="0.25">
      <c r="A7" s="17">
        <v>2</v>
      </c>
      <c r="B7" s="17" t="s">
        <v>119</v>
      </c>
      <c r="C7" s="17" t="s">
        <v>120</v>
      </c>
      <c r="D7" s="17"/>
      <c r="E7" s="17" t="s">
        <v>34</v>
      </c>
      <c r="F7" s="17">
        <v>1</v>
      </c>
      <c r="G7" s="17"/>
      <c r="H7" s="17"/>
      <c r="I7" s="17"/>
      <c r="J7" s="18"/>
      <c r="K7" s="18"/>
      <c r="L7" s="18"/>
      <c r="M7" s="19"/>
      <c r="N7" s="19"/>
    </row>
    <row r="8" spans="1:14" ht="18.75" x14ac:dyDescent="0.25">
      <c r="A8" s="14">
        <v>2.1</v>
      </c>
      <c r="B8" s="14" t="s">
        <v>80</v>
      </c>
      <c r="C8" s="14" t="s">
        <v>105</v>
      </c>
      <c r="D8" s="14"/>
      <c r="E8" s="14" t="s">
        <v>34</v>
      </c>
      <c r="F8" s="14">
        <v>1</v>
      </c>
      <c r="G8" s="14"/>
      <c r="H8" s="14" t="s">
        <v>35</v>
      </c>
      <c r="I8" s="14" t="s">
        <v>36</v>
      </c>
      <c r="J8" s="15">
        <v>9.32</v>
      </c>
      <c r="K8" s="15"/>
      <c r="L8" s="15"/>
      <c r="M8" s="11" t="s">
        <v>104</v>
      </c>
      <c r="N8" s="12" t="s">
        <v>103</v>
      </c>
    </row>
    <row r="9" spans="1:14" ht="18.75" x14ac:dyDescent="0.25">
      <c r="A9" s="14">
        <v>2.2000000000000002</v>
      </c>
      <c r="B9" s="14" t="s">
        <v>81</v>
      </c>
      <c r="C9" s="14" t="s">
        <v>82</v>
      </c>
      <c r="D9" s="14"/>
      <c r="E9" s="14" t="s">
        <v>49</v>
      </c>
      <c r="F9" s="14">
        <v>1</v>
      </c>
      <c r="G9" s="14"/>
      <c r="H9" s="14" t="s">
        <v>35</v>
      </c>
      <c r="I9" s="14" t="s">
        <v>36</v>
      </c>
      <c r="J9" s="15">
        <v>0.45</v>
      </c>
      <c r="K9" s="15">
        <f>J9*0.12</f>
        <v>5.3999999999999999E-2</v>
      </c>
      <c r="L9" s="15">
        <f>SUM(J9:K9)</f>
        <v>0.504</v>
      </c>
      <c r="M9" s="14" t="s">
        <v>37</v>
      </c>
      <c r="N9" s="14" t="s">
        <v>106</v>
      </c>
    </row>
    <row r="10" spans="1:14" ht="18.75" x14ac:dyDescent="0.25">
      <c r="A10" s="14">
        <v>2.2999999999999998</v>
      </c>
      <c r="B10" s="14" t="s">
        <v>99</v>
      </c>
      <c r="C10" s="14" t="s">
        <v>98</v>
      </c>
      <c r="D10" s="14"/>
      <c r="E10" s="14" t="s">
        <v>49</v>
      </c>
      <c r="F10" s="14">
        <v>1</v>
      </c>
      <c r="G10" s="14"/>
      <c r="H10" s="14" t="s">
        <v>35</v>
      </c>
      <c r="I10" s="14" t="s">
        <v>36</v>
      </c>
      <c r="J10" s="15">
        <v>0.36</v>
      </c>
      <c r="K10" s="15">
        <f>J10*0.12</f>
        <v>4.3199999999999995E-2</v>
      </c>
      <c r="L10" s="15">
        <f>SUM(J10:K10)</f>
        <v>0.4032</v>
      </c>
      <c r="M10" s="14" t="s">
        <v>77</v>
      </c>
      <c r="N10" s="14" t="s">
        <v>107</v>
      </c>
    </row>
    <row r="11" spans="1:14" ht="18.75" x14ac:dyDescent="0.25">
      <c r="A11" s="14">
        <v>2.4</v>
      </c>
      <c r="B11" s="14" t="s">
        <v>101</v>
      </c>
      <c r="C11" s="14" t="s">
        <v>100</v>
      </c>
      <c r="D11" s="14" t="s">
        <v>96</v>
      </c>
      <c r="E11" s="14" t="s">
        <v>34</v>
      </c>
      <c r="F11" s="14">
        <v>1</v>
      </c>
      <c r="G11" s="14"/>
      <c r="H11" s="14" t="s">
        <v>35</v>
      </c>
      <c r="I11" s="14" t="s">
        <v>36</v>
      </c>
      <c r="J11" s="15">
        <v>0.03</v>
      </c>
      <c r="K11" s="15"/>
      <c r="L11" s="15"/>
      <c r="M11" s="13" t="s">
        <v>111</v>
      </c>
      <c r="N11" s="13" t="s">
        <v>110</v>
      </c>
    </row>
    <row r="12" spans="1:14" ht="18.75" x14ac:dyDescent="0.25">
      <c r="A12" s="14">
        <v>2.5</v>
      </c>
      <c r="B12" s="14" t="s">
        <v>121</v>
      </c>
      <c r="C12" s="14" t="s">
        <v>122</v>
      </c>
      <c r="D12" s="14"/>
      <c r="E12" s="14" t="s">
        <v>34</v>
      </c>
      <c r="F12" s="14">
        <v>2</v>
      </c>
      <c r="G12" s="14"/>
      <c r="H12" s="14" t="s">
        <v>35</v>
      </c>
      <c r="I12" s="14" t="s">
        <v>36</v>
      </c>
      <c r="J12" s="15">
        <v>0.15</v>
      </c>
      <c r="K12" s="15">
        <f>J12*0.12</f>
        <v>1.7999999999999999E-2</v>
      </c>
      <c r="L12" s="15">
        <f>SUM(J12:K12)</f>
        <v>0.16799999999999998</v>
      </c>
      <c r="M12" s="14" t="s">
        <v>76</v>
      </c>
      <c r="N12" s="14" t="s">
        <v>112</v>
      </c>
    </row>
    <row r="13" spans="1:14" ht="18.75" x14ac:dyDescent="0.25">
      <c r="A13" s="17">
        <v>3</v>
      </c>
      <c r="B13" s="17" t="s">
        <v>83</v>
      </c>
      <c r="C13" s="17" t="s">
        <v>41</v>
      </c>
      <c r="D13" s="17"/>
      <c r="E13" s="17" t="s">
        <v>34</v>
      </c>
      <c r="F13" s="17">
        <v>1</v>
      </c>
      <c r="G13" s="17"/>
      <c r="H13" s="17"/>
      <c r="I13" s="17"/>
      <c r="J13" s="18"/>
      <c r="K13" s="18"/>
      <c r="L13" s="18"/>
      <c r="M13" s="17"/>
      <c r="N13" s="17"/>
    </row>
    <row r="14" spans="1:14" ht="18.75" x14ac:dyDescent="0.25">
      <c r="A14" s="14">
        <v>3.1</v>
      </c>
      <c r="B14" s="14" t="s">
        <v>84</v>
      </c>
      <c r="C14" s="14" t="s">
        <v>123</v>
      </c>
      <c r="D14" s="14"/>
      <c r="E14" s="14" t="s">
        <v>34</v>
      </c>
      <c r="F14" s="14">
        <v>1</v>
      </c>
      <c r="G14" s="14"/>
      <c r="H14" s="20" t="s">
        <v>78</v>
      </c>
      <c r="I14" s="14" t="s">
        <v>38</v>
      </c>
      <c r="J14" s="15"/>
      <c r="K14" s="15"/>
      <c r="L14" s="15"/>
      <c r="M14" s="14"/>
      <c r="N14" s="14"/>
    </row>
    <row r="15" spans="1:14" ht="18.75" x14ac:dyDescent="0.25">
      <c r="A15" s="14">
        <v>3.2</v>
      </c>
      <c r="B15" s="14" t="s">
        <v>85</v>
      </c>
      <c r="C15" s="14" t="s">
        <v>124</v>
      </c>
      <c r="D15" s="14"/>
      <c r="E15" s="14" t="s">
        <v>34</v>
      </c>
      <c r="F15" s="14">
        <v>1</v>
      </c>
      <c r="G15" s="14"/>
      <c r="H15" s="20" t="s">
        <v>78</v>
      </c>
      <c r="I15" s="14" t="s">
        <v>38</v>
      </c>
      <c r="J15" s="15"/>
      <c r="K15" s="15"/>
      <c r="L15" s="15"/>
      <c r="M15" s="12"/>
      <c r="N15" s="14"/>
    </row>
    <row r="16" spans="1:14" ht="18.75" x14ac:dyDescent="0.25">
      <c r="A16" s="14">
        <v>3.3</v>
      </c>
      <c r="B16" s="14" t="s">
        <v>86</v>
      </c>
      <c r="C16" s="14" t="s">
        <v>127</v>
      </c>
      <c r="D16" s="14"/>
      <c r="E16" s="14" t="s">
        <v>34</v>
      </c>
      <c r="F16" s="14">
        <v>1</v>
      </c>
      <c r="G16" s="14"/>
      <c r="H16" s="14" t="s">
        <v>35</v>
      </c>
      <c r="I16" s="14" t="s">
        <v>36</v>
      </c>
      <c r="J16" s="15">
        <v>1.23</v>
      </c>
      <c r="K16" s="15"/>
      <c r="L16" s="15"/>
      <c r="M16" s="13" t="s">
        <v>114</v>
      </c>
      <c r="N16" s="13" t="s">
        <v>113</v>
      </c>
    </row>
    <row r="17" spans="1:14" ht="18.75" x14ac:dyDescent="0.25">
      <c r="A17" s="17">
        <v>4</v>
      </c>
      <c r="B17" s="17" t="s">
        <v>87</v>
      </c>
      <c r="C17" s="17" t="s">
        <v>125</v>
      </c>
      <c r="D17" s="17"/>
      <c r="E17" s="17" t="s">
        <v>34</v>
      </c>
      <c r="F17" s="17">
        <v>1</v>
      </c>
      <c r="G17" s="17"/>
      <c r="H17" s="17"/>
      <c r="I17" s="17"/>
      <c r="J17" s="18"/>
      <c r="K17" s="18"/>
      <c r="L17" s="18"/>
      <c r="M17" s="17"/>
      <c r="N17" s="17"/>
    </row>
    <row r="18" spans="1:14" ht="18.75" x14ac:dyDescent="0.25">
      <c r="A18" s="14">
        <v>4.0999999999999996</v>
      </c>
      <c r="B18" s="14" t="s">
        <v>88</v>
      </c>
      <c r="C18" s="14" t="s">
        <v>42</v>
      </c>
      <c r="D18" s="14"/>
      <c r="E18" s="14" t="s">
        <v>34</v>
      </c>
      <c r="F18" s="14">
        <v>2</v>
      </c>
      <c r="G18" s="14"/>
      <c r="H18" s="14" t="s">
        <v>40</v>
      </c>
      <c r="I18" s="14" t="s">
        <v>38</v>
      </c>
      <c r="J18" s="15"/>
      <c r="K18" s="15"/>
      <c r="L18" s="15"/>
      <c r="M18" s="14"/>
      <c r="N18" s="14"/>
    </row>
    <row r="19" spans="1:14" ht="18.75" x14ac:dyDescent="0.25">
      <c r="A19" s="14">
        <v>4.2</v>
      </c>
      <c r="B19" s="14" t="s">
        <v>89</v>
      </c>
      <c r="C19" s="21" t="s">
        <v>126</v>
      </c>
      <c r="D19" s="14"/>
      <c r="E19" s="14" t="s">
        <v>34</v>
      </c>
      <c r="F19" s="14">
        <v>1</v>
      </c>
      <c r="G19" s="14"/>
      <c r="H19" s="14" t="s">
        <v>35</v>
      </c>
      <c r="I19" s="14" t="s">
        <v>36</v>
      </c>
      <c r="J19" s="15">
        <v>6.1349999999999998</v>
      </c>
      <c r="K19" s="15"/>
      <c r="L19" s="15"/>
      <c r="M19" s="13" t="s">
        <v>114</v>
      </c>
      <c r="N19" s="13" t="s">
        <v>113</v>
      </c>
    </row>
    <row r="20" spans="1:14" ht="18.75" x14ac:dyDescent="0.25">
      <c r="A20" s="17">
        <v>5</v>
      </c>
      <c r="B20" s="17" t="s">
        <v>90</v>
      </c>
      <c r="C20" s="17" t="s">
        <v>43</v>
      </c>
      <c r="D20" s="17"/>
      <c r="E20" s="17" t="s">
        <v>34</v>
      </c>
      <c r="F20" s="17">
        <v>1</v>
      </c>
      <c r="G20" s="17"/>
      <c r="H20" s="17"/>
      <c r="I20" s="17"/>
      <c r="J20" s="18"/>
      <c r="K20" s="18"/>
      <c r="L20" s="18"/>
      <c r="M20" s="17"/>
      <c r="N20" s="17"/>
    </row>
    <row r="21" spans="1:14" ht="18.75" x14ac:dyDescent="0.25">
      <c r="A21" s="14">
        <v>5.0999999999999996</v>
      </c>
      <c r="B21" s="14" t="s">
        <v>85</v>
      </c>
      <c r="C21" s="14" t="s">
        <v>124</v>
      </c>
      <c r="D21" s="14"/>
      <c r="E21" s="14" t="s">
        <v>34</v>
      </c>
      <c r="F21" s="14">
        <v>1</v>
      </c>
      <c r="G21" s="14"/>
      <c r="H21" s="14" t="s">
        <v>78</v>
      </c>
      <c r="I21" s="14" t="s">
        <v>38</v>
      </c>
      <c r="J21" s="15"/>
      <c r="K21" s="15"/>
      <c r="L21" s="15"/>
      <c r="M21" s="14"/>
      <c r="N21" s="14"/>
    </row>
    <row r="22" spans="1:14" ht="25.5" x14ac:dyDescent="0.25">
      <c r="A22" s="14">
        <v>5.2</v>
      </c>
      <c r="B22" s="14" t="s">
        <v>91</v>
      </c>
      <c r="C22" s="21" t="s">
        <v>92</v>
      </c>
      <c r="D22" s="14"/>
      <c r="E22" s="14" t="s">
        <v>34</v>
      </c>
      <c r="F22" s="14">
        <v>1</v>
      </c>
      <c r="G22" s="14"/>
      <c r="H22" s="14" t="s">
        <v>35</v>
      </c>
      <c r="I22" s="14" t="s">
        <v>36</v>
      </c>
      <c r="J22" s="15">
        <v>0.47</v>
      </c>
      <c r="K22" s="15"/>
      <c r="L22" s="15"/>
      <c r="M22" s="13" t="s">
        <v>114</v>
      </c>
      <c r="N22" s="13" t="s">
        <v>113</v>
      </c>
    </row>
    <row r="23" spans="1:14" ht="18.75" x14ac:dyDescent="0.25">
      <c r="A23" s="14">
        <v>5.3</v>
      </c>
      <c r="B23" s="14" t="s">
        <v>93</v>
      </c>
      <c r="C23" s="14" t="s">
        <v>44</v>
      </c>
      <c r="D23" s="14"/>
      <c r="E23" s="14" t="s">
        <v>34</v>
      </c>
      <c r="F23" s="14">
        <v>1</v>
      </c>
      <c r="G23" s="14"/>
      <c r="H23" s="14" t="s">
        <v>78</v>
      </c>
      <c r="I23" s="14" t="s">
        <v>38</v>
      </c>
      <c r="J23" s="15"/>
      <c r="K23" s="15"/>
      <c r="L23" s="15"/>
      <c r="M23" s="14"/>
      <c r="N23" s="14"/>
    </row>
    <row r="24" spans="1:14" ht="18.75" x14ac:dyDescent="0.25">
      <c r="A24" s="14">
        <v>6</v>
      </c>
      <c r="B24" s="14" t="s">
        <v>94</v>
      </c>
      <c r="C24" s="14" t="s">
        <v>128</v>
      </c>
      <c r="D24" s="14"/>
      <c r="E24" s="14" t="s">
        <v>34</v>
      </c>
      <c r="F24" s="14">
        <v>1</v>
      </c>
      <c r="G24" s="14"/>
      <c r="H24" s="14" t="s">
        <v>78</v>
      </c>
      <c r="I24" s="14" t="s">
        <v>38</v>
      </c>
      <c r="J24" s="15"/>
      <c r="K24" s="15"/>
      <c r="L24" s="15"/>
      <c r="M24" s="14"/>
      <c r="N24" s="14"/>
    </row>
    <row r="25" spans="1:14" ht="18.75" x14ac:dyDescent="0.25">
      <c r="A25" s="14">
        <v>7</v>
      </c>
      <c r="B25" s="14" t="s">
        <v>95</v>
      </c>
      <c r="C25" s="14" t="s">
        <v>129</v>
      </c>
      <c r="D25" s="14"/>
      <c r="E25" s="14" t="s">
        <v>34</v>
      </c>
      <c r="F25" s="14">
        <v>1</v>
      </c>
      <c r="G25" s="14"/>
      <c r="H25" s="14" t="s">
        <v>35</v>
      </c>
      <c r="I25" s="14" t="s">
        <v>36</v>
      </c>
      <c r="J25" s="15">
        <v>15.5</v>
      </c>
      <c r="K25" s="15">
        <f>J25*0.05</f>
        <v>0.77500000000000002</v>
      </c>
      <c r="L25" s="15">
        <f>SUM(J25:K25)</f>
        <v>16.274999999999999</v>
      </c>
      <c r="M25" s="14" t="s">
        <v>39</v>
      </c>
      <c r="N25" s="14" t="s">
        <v>115</v>
      </c>
    </row>
    <row r="26" spans="1:14" ht="18.75" x14ac:dyDescent="0.25">
      <c r="A26" s="14">
        <v>8</v>
      </c>
      <c r="B26" s="14" t="s">
        <v>97</v>
      </c>
      <c r="C26" s="14" t="s">
        <v>130</v>
      </c>
      <c r="D26" s="14"/>
      <c r="E26" s="14" t="s">
        <v>34</v>
      </c>
      <c r="F26" s="14">
        <v>4</v>
      </c>
      <c r="G26" s="14"/>
      <c r="H26" s="14" t="s">
        <v>35</v>
      </c>
      <c r="I26" s="14" t="s">
        <v>36</v>
      </c>
      <c r="J26" s="15">
        <v>0.17499999999999999</v>
      </c>
      <c r="K26" s="15">
        <f>0.21-J26</f>
        <v>3.5000000000000003E-2</v>
      </c>
      <c r="L26" s="15">
        <f>SUM(J26:K26)</f>
        <v>0.21</v>
      </c>
      <c r="M26" s="14" t="s">
        <v>116</v>
      </c>
      <c r="N26" s="14" t="s">
        <v>117</v>
      </c>
    </row>
    <row r="27" spans="1:14" ht="18.75" x14ac:dyDescent="0.25">
      <c r="A27" s="14">
        <v>9</v>
      </c>
      <c r="B27" s="14" t="s">
        <v>74</v>
      </c>
      <c r="C27" s="14" t="s">
        <v>72</v>
      </c>
      <c r="D27" s="14"/>
      <c r="E27" s="14" t="s">
        <v>49</v>
      </c>
      <c r="F27" s="14">
        <v>10</v>
      </c>
      <c r="G27" s="14"/>
      <c r="H27" s="14" t="s">
        <v>15</v>
      </c>
      <c r="I27" s="14" t="s">
        <v>38</v>
      </c>
      <c r="J27" s="15"/>
      <c r="K27" s="15"/>
      <c r="L27" s="15"/>
      <c r="M27" s="14"/>
      <c r="N27" s="14"/>
    </row>
    <row r="28" spans="1:14" ht="18.75" x14ac:dyDescent="0.25">
      <c r="A28" s="14">
        <v>10</v>
      </c>
      <c r="B28" s="14" t="s">
        <v>75</v>
      </c>
      <c r="C28" s="14" t="s">
        <v>73</v>
      </c>
      <c r="D28" s="14"/>
      <c r="E28" s="14" t="s">
        <v>49</v>
      </c>
      <c r="F28" s="14">
        <v>2</v>
      </c>
      <c r="G28" s="14"/>
      <c r="H28" s="14" t="s">
        <v>15</v>
      </c>
      <c r="I28" s="14" t="s">
        <v>38</v>
      </c>
      <c r="J28" s="15"/>
      <c r="K28" s="15"/>
      <c r="L28" s="15"/>
      <c r="M28" s="14"/>
      <c r="N28" s="14"/>
    </row>
    <row r="29" spans="1:14" ht="18.75" x14ac:dyDescent="0.25">
      <c r="A29" s="14">
        <v>11</v>
      </c>
      <c r="B29" s="14" t="s">
        <v>69</v>
      </c>
      <c r="C29" s="14" t="s">
        <v>118</v>
      </c>
      <c r="D29" s="14"/>
      <c r="E29" s="14" t="s">
        <v>34</v>
      </c>
      <c r="F29" s="14">
        <v>12</v>
      </c>
      <c r="G29" s="14"/>
      <c r="H29" s="14" t="s">
        <v>15</v>
      </c>
      <c r="I29" s="14" t="s">
        <v>38</v>
      </c>
      <c r="J29" s="15"/>
      <c r="K29" s="15"/>
      <c r="L29" s="15"/>
      <c r="M29" s="14"/>
      <c r="N29" s="14"/>
    </row>
    <row r="30" spans="1:14" ht="18.75" x14ac:dyDescent="0.25">
      <c r="A30" s="14">
        <v>12</v>
      </c>
      <c r="B30" s="14" t="s">
        <v>70</v>
      </c>
      <c r="C30" s="14" t="s">
        <v>51</v>
      </c>
      <c r="D30" s="14"/>
      <c r="E30" s="14" t="s">
        <v>34</v>
      </c>
      <c r="F30" s="14">
        <v>12</v>
      </c>
      <c r="G30" s="14"/>
      <c r="H30" s="14" t="s">
        <v>15</v>
      </c>
      <c r="I30" s="14" t="s">
        <v>38</v>
      </c>
      <c r="J30" s="15"/>
      <c r="K30" s="15"/>
      <c r="L30" s="15"/>
      <c r="M30" s="14"/>
      <c r="N30" s="14"/>
    </row>
    <row r="31" spans="1:14" ht="18.75" x14ac:dyDescent="0.25">
      <c r="A31" s="14">
        <v>13</v>
      </c>
      <c r="B31" s="14" t="s">
        <v>71</v>
      </c>
      <c r="C31" s="14" t="s">
        <v>52</v>
      </c>
      <c r="D31" s="14"/>
      <c r="E31" s="14" t="s">
        <v>34</v>
      </c>
      <c r="F31" s="14">
        <v>12</v>
      </c>
      <c r="G31" s="14"/>
      <c r="H31" s="14" t="s">
        <v>15</v>
      </c>
      <c r="I31" s="14" t="s">
        <v>38</v>
      </c>
      <c r="J31" s="15"/>
      <c r="K31" s="15"/>
      <c r="L31" s="15"/>
      <c r="M31" s="14"/>
      <c r="N31" s="14"/>
    </row>
    <row r="32" spans="1:14" s="7" customFormat="1" ht="18.75" x14ac:dyDescent="0.25">
      <c r="A32" s="14">
        <v>14</v>
      </c>
      <c r="B32" s="14" t="s">
        <v>68</v>
      </c>
      <c r="C32" s="14" t="s">
        <v>67</v>
      </c>
      <c r="D32" s="14"/>
      <c r="E32" s="14" t="s">
        <v>34</v>
      </c>
      <c r="F32" s="14">
        <v>2</v>
      </c>
      <c r="G32" s="14"/>
      <c r="H32" s="14" t="s">
        <v>45</v>
      </c>
      <c r="I32" s="14" t="s">
        <v>38</v>
      </c>
      <c r="J32" s="22"/>
      <c r="K32" s="22"/>
      <c r="L32" s="22"/>
      <c r="M32" s="23"/>
      <c r="N32" s="23"/>
    </row>
    <row r="33" spans="1:14" ht="18.75" x14ac:dyDescent="0.25">
      <c r="A33" s="14">
        <v>15</v>
      </c>
      <c r="B33" s="14" t="s">
        <v>63</v>
      </c>
      <c r="C33" s="14" t="s">
        <v>46</v>
      </c>
      <c r="D33" s="14"/>
      <c r="E33" s="14" t="s">
        <v>34</v>
      </c>
      <c r="F33" s="14">
        <v>2</v>
      </c>
      <c r="G33" s="14"/>
      <c r="H33" s="14" t="s">
        <v>15</v>
      </c>
      <c r="I33" s="14" t="s">
        <v>38</v>
      </c>
      <c r="J33" s="15"/>
      <c r="K33" s="15"/>
      <c r="L33" s="15"/>
      <c r="M33" s="14"/>
      <c r="N33" s="14"/>
    </row>
    <row r="34" spans="1:14" ht="18.75" x14ac:dyDescent="0.25">
      <c r="A34" s="14">
        <v>16</v>
      </c>
      <c r="B34" s="14" t="s">
        <v>64</v>
      </c>
      <c r="C34" s="14" t="s">
        <v>47</v>
      </c>
      <c r="D34" s="14"/>
      <c r="E34" s="14" t="s">
        <v>34</v>
      </c>
      <c r="F34" s="14">
        <v>2</v>
      </c>
      <c r="G34" s="14"/>
      <c r="H34" s="14" t="s">
        <v>15</v>
      </c>
      <c r="I34" s="14" t="s">
        <v>38</v>
      </c>
      <c r="J34" s="15"/>
      <c r="K34" s="15"/>
      <c r="L34" s="15"/>
      <c r="M34" s="14"/>
      <c r="N34" s="14"/>
    </row>
    <row r="35" spans="1:14" ht="18.75" x14ac:dyDescent="0.25">
      <c r="A35" s="14">
        <v>17</v>
      </c>
      <c r="B35" s="14" t="s">
        <v>65</v>
      </c>
      <c r="C35" s="14" t="s">
        <v>48</v>
      </c>
      <c r="D35" s="14"/>
      <c r="E35" s="14" t="s">
        <v>49</v>
      </c>
      <c r="F35" s="14">
        <v>4</v>
      </c>
      <c r="G35" s="14"/>
      <c r="H35" s="14" t="s">
        <v>15</v>
      </c>
      <c r="I35" s="14" t="s">
        <v>38</v>
      </c>
      <c r="J35" s="15"/>
      <c r="K35" s="15"/>
      <c r="L35" s="15"/>
      <c r="M35" s="14"/>
      <c r="N35" s="14"/>
    </row>
    <row r="36" spans="1:14" ht="18.75" x14ac:dyDescent="0.25">
      <c r="A36" s="14">
        <v>18</v>
      </c>
      <c r="B36" s="14" t="s">
        <v>66</v>
      </c>
      <c r="C36" s="14" t="s">
        <v>50</v>
      </c>
      <c r="D36" s="14"/>
      <c r="E36" s="14" t="s">
        <v>34</v>
      </c>
      <c r="F36" s="14">
        <v>4</v>
      </c>
      <c r="G36" s="14"/>
      <c r="H36" s="14" t="s">
        <v>15</v>
      </c>
      <c r="I36" s="14" t="s">
        <v>38</v>
      </c>
      <c r="J36" s="15"/>
      <c r="K36" s="15"/>
      <c r="L36" s="15"/>
      <c r="M36" s="14"/>
      <c r="N36" s="14"/>
    </row>
    <row r="37" spans="1:14" ht="18.75" x14ac:dyDescent="0.25">
      <c r="A37" s="14">
        <v>19</v>
      </c>
      <c r="B37" s="14" t="s">
        <v>58</v>
      </c>
      <c r="C37" s="14" t="s">
        <v>56</v>
      </c>
      <c r="D37" s="14"/>
      <c r="E37" s="14" t="s">
        <v>34</v>
      </c>
      <c r="F37" s="14">
        <v>8</v>
      </c>
      <c r="G37" s="14"/>
      <c r="H37" s="14" t="s">
        <v>15</v>
      </c>
      <c r="I37" s="14" t="s">
        <v>38</v>
      </c>
      <c r="J37" s="15"/>
      <c r="K37" s="15"/>
      <c r="L37" s="15"/>
      <c r="M37" s="14"/>
      <c r="N37" s="14"/>
    </row>
    <row r="38" spans="1:14" ht="18.75" x14ac:dyDescent="0.25">
      <c r="A38" s="14">
        <v>20</v>
      </c>
      <c r="B38" s="14" t="s">
        <v>59</v>
      </c>
      <c r="C38" s="14" t="s">
        <v>57</v>
      </c>
      <c r="D38" s="14"/>
      <c r="E38" s="14" t="s">
        <v>34</v>
      </c>
      <c r="F38" s="14">
        <v>4</v>
      </c>
      <c r="G38" s="14"/>
      <c r="H38" s="14" t="s">
        <v>15</v>
      </c>
      <c r="I38" s="14" t="s">
        <v>38</v>
      </c>
      <c r="J38" s="15"/>
      <c r="K38" s="15"/>
      <c r="L38" s="15"/>
      <c r="M38" s="14"/>
      <c r="N38" s="14"/>
    </row>
    <row r="39" spans="1:14" ht="18.75" x14ac:dyDescent="0.25">
      <c r="A39" s="14">
        <v>21</v>
      </c>
      <c r="B39" s="14" t="s">
        <v>60</v>
      </c>
      <c r="C39" s="14" t="s">
        <v>53</v>
      </c>
      <c r="D39" s="14"/>
      <c r="E39" s="14" t="s">
        <v>34</v>
      </c>
      <c r="F39" s="14">
        <v>8</v>
      </c>
      <c r="G39" s="14"/>
      <c r="H39" s="14" t="s">
        <v>15</v>
      </c>
      <c r="I39" s="14" t="s">
        <v>38</v>
      </c>
      <c r="J39" s="15"/>
      <c r="K39" s="15"/>
      <c r="L39" s="15"/>
      <c r="M39" s="14"/>
      <c r="N39" s="14"/>
    </row>
    <row r="40" spans="1:14" ht="18.75" x14ac:dyDescent="0.25">
      <c r="A40" s="14">
        <v>22</v>
      </c>
      <c r="B40" s="14" t="s">
        <v>61</v>
      </c>
      <c r="C40" s="14" t="s">
        <v>54</v>
      </c>
      <c r="D40" s="14"/>
      <c r="E40" s="14" t="s">
        <v>34</v>
      </c>
      <c r="F40" s="14">
        <v>4</v>
      </c>
      <c r="G40" s="14"/>
      <c r="H40" s="14" t="s">
        <v>15</v>
      </c>
      <c r="I40" s="14" t="s">
        <v>38</v>
      </c>
      <c r="J40" s="15"/>
      <c r="K40" s="15"/>
      <c r="L40" s="15"/>
      <c r="M40" s="14"/>
      <c r="N40" s="14"/>
    </row>
    <row r="41" spans="1:14" ht="18.75" x14ac:dyDescent="0.25">
      <c r="A41" s="14">
        <v>23</v>
      </c>
      <c r="B41" s="14" t="s">
        <v>62</v>
      </c>
      <c r="C41" s="14" t="s">
        <v>55</v>
      </c>
      <c r="D41" s="14"/>
      <c r="E41" s="14" t="s">
        <v>34</v>
      </c>
      <c r="F41" s="14">
        <v>12</v>
      </c>
      <c r="G41" s="14"/>
      <c r="H41" s="14" t="s">
        <v>15</v>
      </c>
      <c r="I41" s="14" t="s">
        <v>38</v>
      </c>
      <c r="J41" s="15"/>
      <c r="K41" s="15"/>
      <c r="L41" s="15"/>
      <c r="M41" s="14"/>
      <c r="N41" s="14"/>
    </row>
    <row r="42" spans="1:14" ht="27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4"/>
      <c r="N42" s="4"/>
    </row>
    <row r="43" spans="1:14" ht="27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4"/>
      <c r="N43" s="4"/>
    </row>
    <row r="44" spans="1:14" ht="27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4"/>
      <c r="N44" s="4"/>
    </row>
    <row r="45" spans="1:14" ht="27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4"/>
      <c r="N45" s="4"/>
    </row>
    <row r="46" spans="1:14" ht="27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4"/>
      <c r="N46" s="4"/>
    </row>
    <row r="47" spans="1:14" ht="27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4"/>
      <c r="N47" s="4"/>
    </row>
    <row r="48" spans="1:14" ht="27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4"/>
      <c r="N48" s="4"/>
    </row>
    <row r="49" spans="1:14" ht="27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4"/>
      <c r="N49" s="4"/>
    </row>
    <row r="50" spans="1:14" ht="27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4"/>
      <c r="N50" s="4"/>
    </row>
  </sheetData>
  <conditionalFormatting sqref="M3">
    <cfRule type="duplicateValues" dxfId="8" priority="9"/>
  </conditionalFormatting>
  <conditionalFormatting sqref="M11">
    <cfRule type="duplicateValues" dxfId="7" priority="8"/>
  </conditionalFormatting>
  <conditionalFormatting sqref="M6">
    <cfRule type="duplicateValues" dxfId="6" priority="7"/>
  </conditionalFormatting>
  <conditionalFormatting sqref="M8">
    <cfRule type="duplicateValues" dxfId="5" priority="6"/>
  </conditionalFormatting>
  <conditionalFormatting sqref="M16">
    <cfRule type="duplicateValues" dxfId="4" priority="5"/>
  </conditionalFormatting>
  <conditionalFormatting sqref="M19">
    <cfRule type="duplicateValues" dxfId="3" priority="4"/>
  </conditionalFormatting>
  <conditionalFormatting sqref="M22">
    <cfRule type="duplicateValues" dxfId="2" priority="3"/>
  </conditionalFormatting>
  <conditionalFormatting sqref="M7">
    <cfRule type="duplicateValues" dxfId="1" priority="2"/>
  </conditionalFormatting>
  <conditionalFormatting sqref="M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2025-10-28T09:18:00Z</dcterms:modified>
</cp:coreProperties>
</file>